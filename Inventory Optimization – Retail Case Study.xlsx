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7E924A5-3C5D-44B1-817E-B83826C4A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Project Overview " sheetId="10" r:id="rId1"/>
    <sheet name="2. Insights &amp; Recommendations" sheetId="12" r:id="rId2"/>
    <sheet name="3. Daily Data" sheetId="1" r:id="rId3"/>
    <sheet name="4. Weekly Data" sheetId="2" r:id="rId4"/>
    <sheet name="5. Monthly Data" sheetId="3" r:id="rId5"/>
    <sheet name="6. Product Master" sheetId="4" r:id="rId6"/>
    <sheet name="7. Dashboard" sheetId="5" r:id="rId7"/>
    <sheet name="8. Pivot table-Inventor level" sheetId="7" r:id="rId8"/>
    <sheet name="9. Pivot table- Units sold" sheetId="9" r:id="rId9"/>
  </sheet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L2" i="4"/>
  <c r="K2" i="4"/>
  <c r="M2" i="4"/>
  <c r="M3" i="4"/>
  <c r="M4" i="4"/>
  <c r="M5" i="4"/>
  <c r="M6" i="4"/>
  <c r="I2" i="4"/>
  <c r="H2" i="4"/>
  <c r="I3" i="4"/>
  <c r="H3" i="4"/>
  <c r="B4" i="5"/>
  <c r="L3" i="4"/>
  <c r="N3" i="4" s="1"/>
  <c r="L4" i="4"/>
  <c r="L5" i="4"/>
  <c r="L6" i="4"/>
  <c r="N6" i="4" s="1"/>
  <c r="K3" i="4"/>
  <c r="K4" i="4"/>
  <c r="K5" i="4"/>
  <c r="K6" i="4"/>
  <c r="J3" i="4"/>
  <c r="J4" i="4"/>
  <c r="J5" i="4"/>
  <c r="J6" i="4"/>
  <c r="I4" i="4"/>
  <c r="I5" i="4"/>
  <c r="I6" i="4"/>
  <c r="H4" i="4"/>
  <c r="H5" i="4"/>
  <c r="H6" i="4"/>
  <c r="G3" i="4"/>
  <c r="G4" i="4"/>
  <c r="G5" i="4"/>
  <c r="G6" i="4"/>
  <c r="N2" i="4"/>
  <c r="N5" i="4"/>
  <c r="N4" i="4"/>
  <c r="G2" i="4"/>
  <c r="J2" i="4" l="1"/>
</calcChain>
</file>

<file path=xl/sharedStrings.xml><?xml version="1.0" encoding="utf-8"?>
<sst xmlns="http://schemas.openxmlformats.org/spreadsheetml/2006/main" count="813" uniqueCount="75">
  <si>
    <t>Date</t>
  </si>
  <si>
    <t>SKU</t>
  </si>
  <si>
    <t>Units Sold</t>
  </si>
  <si>
    <t>Inventory Level</t>
  </si>
  <si>
    <t>Week</t>
  </si>
  <si>
    <t>Month</t>
  </si>
  <si>
    <t>SKU1</t>
  </si>
  <si>
    <t>SKU2</t>
  </si>
  <si>
    <t>SKU3</t>
  </si>
  <si>
    <t>SKU4</t>
  </si>
  <si>
    <t>SKU5</t>
  </si>
  <si>
    <t>Annual Demand</t>
  </si>
  <si>
    <t>Ordering Cost</t>
  </si>
  <si>
    <t>Holding Cost</t>
  </si>
  <si>
    <t>Lead Time (Days)</t>
  </si>
  <si>
    <t>Std Dev Demand</t>
  </si>
  <si>
    <t>EOQ</t>
  </si>
  <si>
    <t>Ordering Cost Calc</t>
  </si>
  <si>
    <t>Holding Cost Calc</t>
  </si>
  <si>
    <t>Total Cost</t>
  </si>
  <si>
    <t>Safety Stock</t>
  </si>
  <si>
    <t>Daily Demand</t>
  </si>
  <si>
    <t>ROP</t>
  </si>
  <si>
    <t>Recommended Order Qty</t>
  </si>
  <si>
    <t>Total Inventory Cost</t>
  </si>
  <si>
    <t>Total Ordering Cost</t>
  </si>
  <si>
    <t>Total Holding Cost</t>
  </si>
  <si>
    <t>Row Labels</t>
  </si>
  <si>
    <t>Sum of Units Sold</t>
  </si>
  <si>
    <t>Grand Total</t>
  </si>
  <si>
    <t>Sum of Inventory Level</t>
  </si>
  <si>
    <t>Column Labels</t>
  </si>
  <si>
    <t>Jan</t>
  </si>
  <si>
    <t>Feb</t>
  </si>
  <si>
    <t>Mar</t>
  </si>
  <si>
    <t>Apr</t>
  </si>
  <si>
    <t>Total EOQ</t>
  </si>
  <si>
    <t>Motive of the Case Study:</t>
  </si>
  <si>
    <t>Name: Dharshan Kirthik Muthuswamy</t>
  </si>
  <si>
    <t xml:space="preserve">Key Insights </t>
  </si>
  <si>
    <t>Inventory Cost Structure Insight</t>
  </si>
  <si>
    <t>The analysis shows that ordering and holding costs significantly impact total inventory cost. Products with higher demand require careful balancing between order frequency and storage costs.</t>
  </si>
  <si>
    <t>EOQ Efficiency</t>
  </si>
  <si>
    <t>The EOQ model successfully identifies an optimal order quantity that minimizes total inventory cost. Ordering too frequently increases ordering costs, while ordering in large batches increases holding costs.</t>
  </si>
  <si>
    <t>Reorder Point Stability</t>
  </si>
  <si>
    <t>The calculated reorder points ensure stock availability during lead time. This reduces the probability of stockouts and improves service levels.</t>
  </si>
  <si>
    <t>Demand Consistency</t>
  </si>
  <si>
    <t>The demand data used in calculations shows relatively stable consumption patterns. This makes deterministic inventory models like EOQ appropriate for the scenario.</t>
  </si>
  <si>
    <t>Sales Impact on Inventory</t>
  </si>
  <si>
    <t>Although detailed sales data was not deeply analyzed, demand levels directly influence inventory decisions. Higher demand leads to:</t>
  </si>
  <si>
    <t>Higher EOQ</t>
  </si>
  <si>
    <t>Higher reorder point</t>
  </si>
  <si>
    <t>Increased working capital requirement</t>
  </si>
  <si>
    <t>Recommendations</t>
  </si>
  <si>
    <t>Implement Continuous Review System</t>
  </si>
  <si>
    <t>The company should monitor inventory levels continuously to ensure reorder points are triggered at the right time.</t>
  </si>
  <si>
    <t>Adjust EOQ Periodically</t>
  </si>
  <si>
    <t>EOQ should be recalculated quarterly to reflect changes in demand, ordering costs, and holding costs.</t>
  </si>
  <si>
    <t>Introduce Basic Sales Tracking</t>
  </si>
  <si>
    <t>To strengthen inventory optimization, the company should:</t>
  </si>
  <si>
    <t>Record daily sales data</t>
  </si>
  <si>
    <t>Track monthly demand trends</t>
  </si>
  <si>
    <t>Maintain Safety Stock</t>
  </si>
  <si>
    <t>Adding safety stock will protect against unexpected demand fluctuations and supplier delays.</t>
  </si>
  <si>
    <t>Improve Data Integration</t>
  </si>
  <si>
    <t>Integrating sales and inventory systems would allow real-time visibility of:</t>
  </si>
  <si>
    <t>Stock levels</t>
  </si>
  <si>
    <t>Demand patterns</t>
  </si>
  <si>
    <t>Reorder triggers</t>
  </si>
  <si>
    <t>Inventory Optimization Dashboard(KPI)</t>
  </si>
  <si>
    <t>Column1</t>
  </si>
  <si>
    <t>Column2</t>
  </si>
  <si>
    <t>Inventory Optimization – Retail Case Study</t>
  </si>
  <si>
    <t>The primary objective of this case study is to analyze and optimize the inventory performance of a retail business through data-driven insights. The aim is to identify sales trends, determine high-performing and underperforming products, and develop strategies to improve stock management, revenue growth, and operational efficiency. By leveraging Excel-based analytics, this study demonstrates the ability to convert raw sales data into actionable business recommendations for smarter decision-making.</t>
  </si>
  <si>
    <t>Date: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</si>
</sst>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rgb="FF1F4E7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MY"/>
              <a:t>Economic</a:t>
            </a:r>
            <a:r>
              <a:rPr lang="en-MY" baseline="0"/>
              <a:t> Order Quantity by SKU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EOQ</c:v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Product Master'!$G$2:$G$6</c15:sqref>
                  </c15:fullRef>
                </c:ext>
              </c:extLst>
              <c:f>'6. Product Master'!$G$2:$G$6</c:f>
              <c:numCache>
                <c:formatCode>General</c:formatCode>
                <c:ptCount val="5"/>
                <c:pt idx="0">
                  <c:v>948.68329805051383</c:v>
                </c:pt>
                <c:pt idx="1">
                  <c:v>876.35609200826582</c:v>
                </c:pt>
                <c:pt idx="2">
                  <c:v>1200</c:v>
                </c:pt>
                <c:pt idx="3">
                  <c:v>848.52813742385706</c:v>
                </c:pt>
                <c:pt idx="4">
                  <c:v>1161.8950038622252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A-4307-8093-D7110A73F648}"/>
            </c:ext>
          </c:extLst>
        </c:ser>
        <c:ser>
          <c:idx val="0"/>
          <c:order val="1"/>
          <c:tx>
            <c:strRef>
              <c:f>'6. Product Master'!$A$1:$A$6</c:f>
              <c:strCache>
                <c:ptCount val="6"/>
                <c:pt idx="0">
                  <c:v>SKU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Product Master'!$A$1:$A$6</c15:sqref>
                  </c15:fullRef>
                </c:ext>
              </c:extLst>
              <c:f>'6. Product Master'!$A$1:$A$5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A-4307-8093-D7110A73F6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EOQ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800" b="1" i="0" u="none" strike="noStrike" baseline="0"/>
              <a:t>Cost Breakdown Chart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'6. Product Master'!$H$1:$J$1</c:f>
              <c:strCache>
                <c:ptCount val="3"/>
                <c:pt idx="0">
                  <c:v>Ordering Cost Calc</c:v>
                </c:pt>
                <c:pt idx="1">
                  <c:v>Holding Cost Calc</c:v>
                </c:pt>
                <c:pt idx="2">
                  <c:v>Total Cost</c:v>
                </c:pt>
              </c:strCache>
            </c:strRef>
          </c:cat>
          <c:val>
            <c:numRef>
              <c:f>'6. Product Master'!$H$4:$J$4</c:f>
              <c:numCache>
                <c:formatCode>General</c:formatCode>
                <c:ptCount val="3"/>
                <c:pt idx="0">
                  <c:v>3000</c:v>
                </c:pt>
                <c:pt idx="1">
                  <c:v>3000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0-4758-B865-1244D5A7A2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'6. Product Master'!$H$1:$J$1</c15:sqref>
                        </c15:formulaRef>
                      </c:ext>
                    </c:extLst>
                    <c:strCache>
                      <c:ptCount val="3"/>
                      <c:pt idx="0">
                        <c:v>Ordering Cost Calc</c:v>
                      </c:pt>
                      <c:pt idx="1">
                        <c:v>Holding Cost Calc</c:v>
                      </c:pt>
                      <c:pt idx="2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'6. Product Master'!$H$2:$J$2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1897.3665961010274</c:v>
                      </c:pt>
                      <c:pt idx="1">
                        <c:v>1897.3665961010277</c:v>
                      </c:pt>
                      <c:pt idx="2">
                        <c:v>3794.7331922020549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4B0-4758-B865-1244D5A7A2D2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'6. Product Master'!$H$1:$J$1</c15:sqref>
                        </c15:formulaRef>
                      </c:ext>
                    </c:extLst>
                    <c:strCache>
                      <c:ptCount val="3"/>
                      <c:pt idx="0">
                        <c:v>Ordering Cost Calc</c:v>
                      </c:pt>
                      <c:pt idx="1">
                        <c:v>Holding Cost Calc</c:v>
                      </c:pt>
                      <c:pt idx="2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'6. Product Master'!$H$3:$J$3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1314.5341380123987</c:v>
                      </c:pt>
                      <c:pt idx="1">
                        <c:v>1314.5341380123987</c:v>
                      </c:pt>
                      <c:pt idx="2">
                        <c:v>2629.0682760247973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4B0-4758-B865-1244D5A7A2D2}"/>
                  </c:ext>
                </c:extLst>
              </c15:ser>
            </c15:filteredPieSeries>
            <c15:filteredPieSeries>
              <c15:ser>
                <c:idx val="3"/>
                <c:order val="3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'6. Product Master'!$H$1:$J$1</c15:sqref>
                        </c15:formulaRef>
                      </c:ext>
                    </c:extLst>
                    <c:strCache>
                      <c:ptCount val="3"/>
                      <c:pt idx="0">
                        <c:v>Ordering Cost Calc</c:v>
                      </c:pt>
                      <c:pt idx="1">
                        <c:v>Holding Cost Calc</c:v>
                      </c:pt>
                      <c:pt idx="2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'6. Product Master'!$H$5:$J$5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848.52813742385695</c:v>
                      </c:pt>
                      <c:pt idx="1">
                        <c:v>848.52813742385706</c:v>
                      </c:pt>
                      <c:pt idx="2">
                        <c:v>1697.0562748477141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4B0-4758-B865-1244D5A7A2D2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'6. Product Master'!$H$1:$J$1</c15:sqref>
                        </c15:formulaRef>
                      </c:ext>
                    </c:extLst>
                    <c:strCache>
                      <c:ptCount val="3"/>
                      <c:pt idx="0">
                        <c:v>Ordering Cost Calc</c:v>
                      </c:pt>
                      <c:pt idx="1">
                        <c:v>Holding Cost Calc</c:v>
                      </c:pt>
                      <c:pt idx="2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'6. Product Master'!$H$6:$J$6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2323.7900077244499</c:v>
                      </c:pt>
                      <c:pt idx="1">
                        <c:v>2323.7900077244503</c:v>
                      </c:pt>
                      <c:pt idx="2">
                        <c:v>4647.5800154489007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4B0-4758-B865-1244D5A7A2D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333375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8</xdr:row>
      <xdr:rowOff>14287</xdr:rowOff>
    </xdr:from>
    <xdr:to>
      <xdr:col>15</xdr:col>
      <xdr:colOff>38100</xdr:colOff>
      <xdr:row>22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0E8D7-F91B-FD4F-9ED3-939979884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1.850196643521" createdVersion="8" refreshedVersion="8" minRefreshableVersion="3" recordCount="600" xr:uid="{083931CE-B710-41C7-BC9D-8B4177DD3CA0}">
  <cacheSource type="worksheet">
    <worksheetSource ref="A1:F601" sheet="3. Daily Data"/>
  </cacheSource>
  <cacheFields count="8">
    <cacheField name="Date" numFmtId="164">
      <sharedItems containsSemiMixedTypes="0" containsNonDate="0" containsDate="1" containsString="0" minDate="2025-01-01T00:00:00" maxDate="2025-05-01T00:00:00" count="12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</sharedItems>
      <fieldGroup par="7"/>
    </cacheField>
    <cacheField name="SKU" numFmtId="0">
      <sharedItems count="5">
        <s v="SKU1"/>
        <s v="SKU2"/>
        <s v="SKU3"/>
        <s v="SKU4"/>
        <s v="SKU5"/>
      </sharedItems>
    </cacheField>
    <cacheField name="Units Sold" numFmtId="0">
      <sharedItems containsSemiMixedTypes="0" containsString="0" containsNumber="1" containsInteger="1" minValue="38" maxValue="122"/>
    </cacheField>
    <cacheField name="Inventory Level" numFmtId="0">
      <sharedItems containsSemiMixedTypes="0" containsString="0" containsNumber="1" containsInteger="1" minValue="64" maxValue="168"/>
    </cacheField>
    <cacheField name="Week" numFmtId="0">
      <sharedItems containsSemiMixedTypes="0" containsString="0" containsNumber="1" containsInteger="1" minValue="1" maxValue="18"/>
    </cacheField>
    <cacheField name="Month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Days (Date)" numFmtId="0" databaseField="0">
      <fieldGroup base="0">
        <rangePr groupBy="days" startDate="2025-01-01T00:00:00" endDate="2025-05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5/2025"/>
        </groupItems>
      </fieldGroup>
    </cacheField>
    <cacheField name="Months (Date)" numFmtId="0" databaseField="0">
      <fieldGroup base="0">
        <rangePr groupBy="months" startDate="2025-01-01T00:00:00" endDate="2025-05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n v="104"/>
    <n v="142"/>
    <n v="1"/>
    <x v="0"/>
  </r>
  <r>
    <x v="1"/>
    <x v="0"/>
    <n v="86"/>
    <n v="126"/>
    <n v="1"/>
    <x v="0"/>
  </r>
  <r>
    <x v="2"/>
    <x v="0"/>
    <n v="104"/>
    <n v="145"/>
    <n v="1"/>
    <x v="0"/>
  </r>
  <r>
    <x v="3"/>
    <x v="0"/>
    <n v="80"/>
    <n v="129"/>
    <n v="1"/>
    <x v="0"/>
  </r>
  <r>
    <x v="4"/>
    <x v="0"/>
    <n v="92"/>
    <n v="132"/>
    <n v="1"/>
    <x v="0"/>
  </r>
  <r>
    <x v="5"/>
    <x v="0"/>
    <n v="104"/>
    <n v="152"/>
    <n v="2"/>
    <x v="0"/>
  </r>
  <r>
    <x v="6"/>
    <x v="0"/>
    <n v="99"/>
    <n v="145"/>
    <n v="2"/>
    <x v="0"/>
  </r>
  <r>
    <x v="7"/>
    <x v="0"/>
    <n v="98"/>
    <n v="145"/>
    <n v="2"/>
    <x v="0"/>
  </r>
  <r>
    <x v="8"/>
    <x v="0"/>
    <n v="97"/>
    <n v="131"/>
    <n v="2"/>
    <x v="0"/>
  </r>
  <r>
    <x v="9"/>
    <x v="0"/>
    <n v="104"/>
    <n v="143"/>
    <n v="2"/>
    <x v="0"/>
  </r>
  <r>
    <x v="10"/>
    <x v="0"/>
    <n v="104"/>
    <n v="142"/>
    <n v="2"/>
    <x v="0"/>
  </r>
  <r>
    <x v="11"/>
    <x v="0"/>
    <n v="106"/>
    <n v="143"/>
    <n v="2"/>
    <x v="0"/>
  </r>
  <r>
    <x v="12"/>
    <x v="0"/>
    <n v="111"/>
    <n v="151"/>
    <n v="3"/>
    <x v="0"/>
  </r>
  <r>
    <x v="13"/>
    <x v="0"/>
    <n v="92"/>
    <n v="139"/>
    <n v="3"/>
    <x v="0"/>
  </r>
  <r>
    <x v="14"/>
    <x v="0"/>
    <n v="87"/>
    <n v="121"/>
    <n v="3"/>
    <x v="0"/>
  </r>
  <r>
    <x v="15"/>
    <x v="0"/>
    <n v="90"/>
    <n v="127"/>
    <n v="3"/>
    <x v="0"/>
  </r>
  <r>
    <x v="16"/>
    <x v="0"/>
    <n v="106"/>
    <n v="131"/>
    <n v="3"/>
    <x v="0"/>
  </r>
  <r>
    <x v="17"/>
    <x v="0"/>
    <n v="92"/>
    <n v="140"/>
    <n v="3"/>
    <x v="0"/>
  </r>
  <r>
    <x v="18"/>
    <x v="0"/>
    <n v="121"/>
    <n v="154"/>
    <n v="3"/>
    <x v="0"/>
  </r>
  <r>
    <x v="19"/>
    <x v="0"/>
    <n v="108"/>
    <n v="141"/>
    <n v="4"/>
    <x v="0"/>
  </r>
  <r>
    <x v="20"/>
    <x v="0"/>
    <n v="91"/>
    <n v="118"/>
    <n v="4"/>
    <x v="0"/>
  </r>
  <r>
    <x v="21"/>
    <x v="0"/>
    <n v="113"/>
    <n v="147"/>
    <n v="4"/>
    <x v="0"/>
  </r>
  <r>
    <x v="22"/>
    <x v="0"/>
    <n v="112"/>
    <n v="159"/>
    <n v="4"/>
    <x v="0"/>
  </r>
  <r>
    <x v="23"/>
    <x v="0"/>
    <n v="104"/>
    <n v="152"/>
    <n v="4"/>
    <x v="0"/>
  </r>
  <r>
    <x v="24"/>
    <x v="0"/>
    <n v="111"/>
    <n v="137"/>
    <n v="4"/>
    <x v="0"/>
  </r>
  <r>
    <x v="25"/>
    <x v="0"/>
    <n v="99"/>
    <n v="126"/>
    <n v="4"/>
    <x v="0"/>
  </r>
  <r>
    <x v="26"/>
    <x v="0"/>
    <n v="107"/>
    <n v="127"/>
    <n v="5"/>
    <x v="0"/>
  </r>
  <r>
    <x v="27"/>
    <x v="0"/>
    <n v="104"/>
    <n v="149"/>
    <n v="5"/>
    <x v="0"/>
  </r>
  <r>
    <x v="28"/>
    <x v="0"/>
    <n v="87"/>
    <n v="114"/>
    <n v="5"/>
    <x v="0"/>
  </r>
  <r>
    <x v="29"/>
    <x v="0"/>
    <n v="99"/>
    <n v="141"/>
    <n v="5"/>
    <x v="0"/>
  </r>
  <r>
    <x v="30"/>
    <x v="0"/>
    <n v="95"/>
    <n v="117"/>
    <n v="5"/>
    <x v="0"/>
  </r>
  <r>
    <x v="31"/>
    <x v="0"/>
    <n v="104"/>
    <n v="126"/>
    <n v="5"/>
    <x v="1"/>
  </r>
  <r>
    <x v="32"/>
    <x v="0"/>
    <n v="100"/>
    <n v="133"/>
    <n v="5"/>
    <x v="1"/>
  </r>
  <r>
    <x v="33"/>
    <x v="0"/>
    <n v="113"/>
    <n v="155"/>
    <n v="6"/>
    <x v="1"/>
  </r>
  <r>
    <x v="34"/>
    <x v="0"/>
    <n v="109"/>
    <n v="137"/>
    <n v="6"/>
    <x v="1"/>
  </r>
  <r>
    <x v="35"/>
    <x v="0"/>
    <n v="107"/>
    <n v="154"/>
    <n v="6"/>
    <x v="1"/>
  </r>
  <r>
    <x v="36"/>
    <x v="0"/>
    <n v="86"/>
    <n v="112"/>
    <n v="6"/>
    <x v="1"/>
  </r>
  <r>
    <x v="37"/>
    <x v="0"/>
    <n v="100"/>
    <n v="123"/>
    <n v="6"/>
    <x v="1"/>
  </r>
  <r>
    <x v="38"/>
    <x v="0"/>
    <n v="117"/>
    <n v="149"/>
    <n v="6"/>
    <x v="1"/>
  </r>
  <r>
    <x v="39"/>
    <x v="0"/>
    <n v="102"/>
    <n v="134"/>
    <n v="6"/>
    <x v="1"/>
  </r>
  <r>
    <x v="40"/>
    <x v="0"/>
    <n v="83"/>
    <n v="124"/>
    <n v="7"/>
    <x v="1"/>
  </r>
  <r>
    <x v="41"/>
    <x v="0"/>
    <n v="115"/>
    <n v="164"/>
    <n v="7"/>
    <x v="1"/>
  </r>
  <r>
    <x v="42"/>
    <x v="0"/>
    <n v="105"/>
    <n v="152"/>
    <n v="7"/>
    <x v="1"/>
  </r>
  <r>
    <x v="43"/>
    <x v="0"/>
    <n v="92"/>
    <n v="141"/>
    <n v="7"/>
    <x v="1"/>
  </r>
  <r>
    <x v="44"/>
    <x v="0"/>
    <n v="102"/>
    <n v="149"/>
    <n v="7"/>
    <x v="1"/>
  </r>
  <r>
    <x v="45"/>
    <x v="0"/>
    <n v="97"/>
    <n v="117"/>
    <n v="7"/>
    <x v="1"/>
  </r>
  <r>
    <x v="46"/>
    <x v="0"/>
    <n v="92"/>
    <n v="131"/>
    <n v="7"/>
    <x v="1"/>
  </r>
  <r>
    <x v="47"/>
    <x v="0"/>
    <n v="97"/>
    <n v="122"/>
    <n v="8"/>
    <x v="1"/>
  </r>
  <r>
    <x v="48"/>
    <x v="0"/>
    <n v="101"/>
    <n v="125"/>
    <n v="8"/>
    <x v="1"/>
  </r>
  <r>
    <x v="49"/>
    <x v="0"/>
    <n v="107"/>
    <n v="150"/>
    <n v="8"/>
    <x v="1"/>
  </r>
  <r>
    <x v="50"/>
    <x v="0"/>
    <n v="122"/>
    <n v="165"/>
    <n v="8"/>
    <x v="1"/>
  </r>
  <r>
    <x v="51"/>
    <x v="0"/>
    <n v="107"/>
    <n v="143"/>
    <n v="8"/>
    <x v="1"/>
  </r>
  <r>
    <x v="52"/>
    <x v="0"/>
    <n v="93"/>
    <n v="119"/>
    <n v="8"/>
    <x v="1"/>
  </r>
  <r>
    <x v="53"/>
    <x v="0"/>
    <n v="101"/>
    <n v="137"/>
    <n v="8"/>
    <x v="1"/>
  </r>
  <r>
    <x v="54"/>
    <x v="0"/>
    <n v="105"/>
    <n v="145"/>
    <n v="9"/>
    <x v="1"/>
  </r>
  <r>
    <x v="55"/>
    <x v="0"/>
    <n v="93"/>
    <n v="123"/>
    <n v="9"/>
    <x v="1"/>
  </r>
  <r>
    <x v="56"/>
    <x v="0"/>
    <n v="97"/>
    <n v="122"/>
    <n v="9"/>
    <x v="1"/>
  </r>
  <r>
    <x v="57"/>
    <x v="0"/>
    <n v="97"/>
    <n v="122"/>
    <n v="9"/>
    <x v="1"/>
  </r>
  <r>
    <x v="58"/>
    <x v="0"/>
    <n v="98"/>
    <n v="133"/>
    <n v="9"/>
    <x v="1"/>
  </r>
  <r>
    <x v="59"/>
    <x v="0"/>
    <n v="112"/>
    <n v="137"/>
    <n v="9"/>
    <x v="2"/>
  </r>
  <r>
    <x v="60"/>
    <x v="0"/>
    <n v="107"/>
    <n v="154"/>
    <n v="9"/>
    <x v="2"/>
  </r>
  <r>
    <x v="61"/>
    <x v="0"/>
    <n v="106"/>
    <n v="128"/>
    <n v="10"/>
    <x v="2"/>
  </r>
  <r>
    <x v="62"/>
    <x v="0"/>
    <n v="111"/>
    <n v="137"/>
    <n v="10"/>
    <x v="2"/>
  </r>
  <r>
    <x v="63"/>
    <x v="0"/>
    <n v="90"/>
    <n v="116"/>
    <n v="10"/>
    <x v="2"/>
  </r>
  <r>
    <x v="64"/>
    <x v="0"/>
    <n v="121"/>
    <n v="168"/>
    <n v="10"/>
    <x v="2"/>
  </r>
  <r>
    <x v="65"/>
    <x v="0"/>
    <n v="108"/>
    <n v="157"/>
    <n v="10"/>
    <x v="2"/>
  </r>
  <r>
    <x v="66"/>
    <x v="0"/>
    <n v="107"/>
    <n v="142"/>
    <n v="10"/>
    <x v="2"/>
  </r>
  <r>
    <x v="67"/>
    <x v="0"/>
    <n v="111"/>
    <n v="158"/>
    <n v="10"/>
    <x v="2"/>
  </r>
  <r>
    <x v="68"/>
    <x v="0"/>
    <n v="115"/>
    <n v="143"/>
    <n v="11"/>
    <x v="2"/>
  </r>
  <r>
    <x v="69"/>
    <x v="0"/>
    <n v="96"/>
    <n v="118"/>
    <n v="11"/>
    <x v="2"/>
  </r>
  <r>
    <x v="70"/>
    <x v="0"/>
    <n v="113"/>
    <n v="133"/>
    <n v="11"/>
    <x v="2"/>
  </r>
  <r>
    <x v="71"/>
    <x v="0"/>
    <n v="105"/>
    <n v="132"/>
    <n v="11"/>
    <x v="2"/>
  </r>
  <r>
    <x v="72"/>
    <x v="0"/>
    <n v="110"/>
    <n v="159"/>
    <n v="11"/>
    <x v="2"/>
  </r>
  <r>
    <x v="73"/>
    <x v="0"/>
    <n v="106"/>
    <n v="139"/>
    <n v="11"/>
    <x v="2"/>
  </r>
  <r>
    <x v="74"/>
    <x v="0"/>
    <n v="102"/>
    <n v="137"/>
    <n v="11"/>
    <x v="2"/>
  </r>
  <r>
    <x v="75"/>
    <x v="0"/>
    <n v="90"/>
    <n v="117"/>
    <n v="12"/>
    <x v="2"/>
  </r>
  <r>
    <x v="76"/>
    <x v="0"/>
    <n v="113"/>
    <n v="133"/>
    <n v="12"/>
    <x v="2"/>
  </r>
  <r>
    <x v="77"/>
    <x v="0"/>
    <n v="102"/>
    <n v="143"/>
    <n v="12"/>
    <x v="2"/>
  </r>
  <r>
    <x v="78"/>
    <x v="0"/>
    <n v="94"/>
    <n v="119"/>
    <n v="12"/>
    <x v="2"/>
  </r>
  <r>
    <x v="79"/>
    <x v="0"/>
    <n v="117"/>
    <n v="157"/>
    <n v="12"/>
    <x v="2"/>
  </r>
  <r>
    <x v="80"/>
    <x v="0"/>
    <n v="101"/>
    <n v="121"/>
    <n v="12"/>
    <x v="2"/>
  </r>
  <r>
    <x v="81"/>
    <x v="0"/>
    <n v="91"/>
    <n v="129"/>
    <n v="12"/>
    <x v="2"/>
  </r>
  <r>
    <x v="82"/>
    <x v="0"/>
    <n v="103"/>
    <n v="139"/>
    <n v="13"/>
    <x v="2"/>
  </r>
  <r>
    <x v="83"/>
    <x v="0"/>
    <n v="94"/>
    <n v="141"/>
    <n v="13"/>
    <x v="2"/>
  </r>
  <r>
    <x v="84"/>
    <x v="0"/>
    <n v="99"/>
    <n v="121"/>
    <n v="13"/>
    <x v="2"/>
  </r>
  <r>
    <x v="85"/>
    <x v="0"/>
    <n v="95"/>
    <n v="115"/>
    <n v="13"/>
    <x v="2"/>
  </r>
  <r>
    <x v="86"/>
    <x v="0"/>
    <n v="95"/>
    <n v="139"/>
    <n v="13"/>
    <x v="2"/>
  </r>
  <r>
    <x v="87"/>
    <x v="0"/>
    <n v="98"/>
    <n v="120"/>
    <n v="13"/>
    <x v="2"/>
  </r>
  <r>
    <x v="88"/>
    <x v="0"/>
    <n v="103"/>
    <n v="137"/>
    <n v="13"/>
    <x v="2"/>
  </r>
  <r>
    <x v="89"/>
    <x v="0"/>
    <n v="101"/>
    <n v="137"/>
    <n v="14"/>
    <x v="2"/>
  </r>
  <r>
    <x v="90"/>
    <x v="0"/>
    <n v="113"/>
    <n v="154"/>
    <n v="14"/>
    <x v="3"/>
  </r>
  <r>
    <x v="91"/>
    <x v="0"/>
    <n v="97"/>
    <n v="139"/>
    <n v="14"/>
    <x v="3"/>
  </r>
  <r>
    <x v="92"/>
    <x v="0"/>
    <n v="99"/>
    <n v="142"/>
    <n v="14"/>
    <x v="3"/>
  </r>
  <r>
    <x v="93"/>
    <x v="0"/>
    <n v="117"/>
    <n v="161"/>
    <n v="14"/>
    <x v="3"/>
  </r>
  <r>
    <x v="94"/>
    <x v="0"/>
    <n v="105"/>
    <n v="132"/>
    <n v="14"/>
    <x v="3"/>
  </r>
  <r>
    <x v="95"/>
    <x v="0"/>
    <n v="107"/>
    <n v="138"/>
    <n v="14"/>
    <x v="3"/>
  </r>
  <r>
    <x v="96"/>
    <x v="0"/>
    <n v="115"/>
    <n v="136"/>
    <n v="15"/>
    <x v="3"/>
  </r>
  <r>
    <x v="97"/>
    <x v="0"/>
    <n v="85"/>
    <n v="126"/>
    <n v="15"/>
    <x v="3"/>
  </r>
  <r>
    <x v="98"/>
    <x v="0"/>
    <n v="96"/>
    <n v="145"/>
    <n v="15"/>
    <x v="3"/>
  </r>
  <r>
    <x v="99"/>
    <x v="0"/>
    <n v="94"/>
    <n v="135"/>
    <n v="15"/>
    <x v="3"/>
  </r>
  <r>
    <x v="100"/>
    <x v="0"/>
    <n v="93"/>
    <n v="127"/>
    <n v="15"/>
    <x v="3"/>
  </r>
  <r>
    <x v="101"/>
    <x v="0"/>
    <n v="97"/>
    <n v="117"/>
    <n v="15"/>
    <x v="3"/>
  </r>
  <r>
    <x v="102"/>
    <x v="0"/>
    <n v="112"/>
    <n v="143"/>
    <n v="15"/>
    <x v="3"/>
  </r>
  <r>
    <x v="103"/>
    <x v="0"/>
    <n v="105"/>
    <n v="137"/>
    <n v="16"/>
    <x v="3"/>
  </r>
  <r>
    <x v="104"/>
    <x v="0"/>
    <n v="91"/>
    <n v="113"/>
    <n v="16"/>
    <x v="3"/>
  </r>
  <r>
    <x v="105"/>
    <x v="0"/>
    <n v="105"/>
    <n v="137"/>
    <n v="16"/>
    <x v="3"/>
  </r>
  <r>
    <x v="106"/>
    <x v="0"/>
    <n v="76"/>
    <n v="114"/>
    <n v="16"/>
    <x v="3"/>
  </r>
  <r>
    <x v="107"/>
    <x v="0"/>
    <n v="99"/>
    <n v="123"/>
    <n v="16"/>
    <x v="3"/>
  </r>
  <r>
    <x v="108"/>
    <x v="0"/>
    <n v="91"/>
    <n v="119"/>
    <n v="16"/>
    <x v="3"/>
  </r>
  <r>
    <x v="109"/>
    <x v="0"/>
    <n v="107"/>
    <n v="152"/>
    <n v="16"/>
    <x v="3"/>
  </r>
  <r>
    <x v="110"/>
    <x v="0"/>
    <n v="89"/>
    <n v="138"/>
    <n v="17"/>
    <x v="3"/>
  </r>
  <r>
    <x v="111"/>
    <x v="0"/>
    <n v="85"/>
    <n v="117"/>
    <n v="17"/>
    <x v="3"/>
  </r>
  <r>
    <x v="112"/>
    <x v="0"/>
    <n v="108"/>
    <n v="149"/>
    <n v="17"/>
    <x v="3"/>
  </r>
  <r>
    <x v="113"/>
    <x v="0"/>
    <n v="108"/>
    <n v="153"/>
    <n v="17"/>
    <x v="3"/>
  </r>
  <r>
    <x v="114"/>
    <x v="0"/>
    <n v="97"/>
    <n v="141"/>
    <n v="17"/>
    <x v="3"/>
  </r>
  <r>
    <x v="115"/>
    <x v="0"/>
    <n v="96"/>
    <n v="130"/>
    <n v="17"/>
    <x v="3"/>
  </r>
  <r>
    <x v="116"/>
    <x v="0"/>
    <n v="107"/>
    <n v="152"/>
    <n v="17"/>
    <x v="3"/>
  </r>
  <r>
    <x v="117"/>
    <x v="0"/>
    <n v="109"/>
    <n v="132"/>
    <n v="18"/>
    <x v="3"/>
  </r>
  <r>
    <x v="118"/>
    <x v="0"/>
    <n v="90"/>
    <n v="132"/>
    <n v="18"/>
    <x v="3"/>
  </r>
  <r>
    <x v="119"/>
    <x v="0"/>
    <n v="115"/>
    <n v="144"/>
    <n v="18"/>
    <x v="3"/>
  </r>
  <r>
    <x v="0"/>
    <x v="1"/>
    <n v="68"/>
    <n v="92"/>
    <n v="1"/>
    <x v="0"/>
  </r>
  <r>
    <x v="1"/>
    <x v="1"/>
    <n v="73"/>
    <n v="108"/>
    <n v="1"/>
    <x v="0"/>
  </r>
  <r>
    <x v="2"/>
    <x v="1"/>
    <n v="71"/>
    <n v="117"/>
    <n v="1"/>
    <x v="0"/>
  </r>
  <r>
    <x v="3"/>
    <x v="1"/>
    <n v="76"/>
    <n v="98"/>
    <n v="1"/>
    <x v="0"/>
  </r>
  <r>
    <x v="4"/>
    <x v="1"/>
    <n v="71"/>
    <n v="109"/>
    <n v="1"/>
    <x v="0"/>
  </r>
  <r>
    <x v="5"/>
    <x v="1"/>
    <n v="77"/>
    <n v="97"/>
    <n v="2"/>
    <x v="0"/>
  </r>
  <r>
    <x v="6"/>
    <x v="1"/>
    <n v="60"/>
    <n v="93"/>
    <n v="2"/>
    <x v="0"/>
  </r>
  <r>
    <x v="7"/>
    <x v="1"/>
    <n v="72"/>
    <n v="99"/>
    <n v="2"/>
    <x v="0"/>
  </r>
  <r>
    <x v="8"/>
    <x v="1"/>
    <n v="65"/>
    <n v="114"/>
    <n v="2"/>
    <x v="0"/>
  </r>
  <r>
    <x v="9"/>
    <x v="1"/>
    <n v="76"/>
    <n v="99"/>
    <n v="2"/>
    <x v="0"/>
  </r>
  <r>
    <x v="10"/>
    <x v="1"/>
    <n v="73"/>
    <n v="103"/>
    <n v="2"/>
    <x v="0"/>
  </r>
  <r>
    <x v="11"/>
    <x v="1"/>
    <n v="79"/>
    <n v="119"/>
    <n v="2"/>
    <x v="0"/>
  </r>
  <r>
    <x v="12"/>
    <x v="1"/>
    <n v="66"/>
    <n v="88"/>
    <n v="3"/>
    <x v="0"/>
  </r>
  <r>
    <x v="13"/>
    <x v="1"/>
    <n v="65"/>
    <n v="108"/>
    <n v="3"/>
    <x v="0"/>
  </r>
  <r>
    <x v="14"/>
    <x v="1"/>
    <n v="79"/>
    <n v="110"/>
    <n v="3"/>
    <x v="0"/>
  </r>
  <r>
    <x v="15"/>
    <x v="1"/>
    <n v="66"/>
    <n v="110"/>
    <n v="3"/>
    <x v="0"/>
  </r>
  <r>
    <x v="16"/>
    <x v="1"/>
    <n v="61"/>
    <n v="97"/>
    <n v="3"/>
    <x v="0"/>
  </r>
  <r>
    <x v="17"/>
    <x v="1"/>
    <n v="68"/>
    <n v="109"/>
    <n v="3"/>
    <x v="0"/>
  </r>
  <r>
    <x v="18"/>
    <x v="1"/>
    <n v="63"/>
    <n v="86"/>
    <n v="3"/>
    <x v="0"/>
  </r>
  <r>
    <x v="19"/>
    <x v="1"/>
    <n v="55"/>
    <n v="88"/>
    <n v="4"/>
    <x v="0"/>
  </r>
  <r>
    <x v="20"/>
    <x v="1"/>
    <n v="72"/>
    <n v="117"/>
    <n v="4"/>
    <x v="0"/>
  </r>
  <r>
    <x v="21"/>
    <x v="1"/>
    <n v="71"/>
    <n v="93"/>
    <n v="4"/>
    <x v="0"/>
  </r>
  <r>
    <x v="22"/>
    <x v="1"/>
    <n v="70"/>
    <n v="110"/>
    <n v="4"/>
    <x v="0"/>
  </r>
  <r>
    <x v="23"/>
    <x v="1"/>
    <n v="74"/>
    <n v="118"/>
    <n v="4"/>
    <x v="0"/>
  </r>
  <r>
    <x v="24"/>
    <x v="1"/>
    <n v="51"/>
    <n v="99"/>
    <n v="4"/>
    <x v="0"/>
  </r>
  <r>
    <x v="25"/>
    <x v="1"/>
    <n v="64"/>
    <n v="95"/>
    <n v="4"/>
    <x v="0"/>
  </r>
  <r>
    <x v="26"/>
    <x v="1"/>
    <n v="73"/>
    <n v="109"/>
    <n v="5"/>
    <x v="0"/>
  </r>
  <r>
    <x v="27"/>
    <x v="1"/>
    <n v="55"/>
    <n v="87"/>
    <n v="5"/>
    <x v="0"/>
  </r>
  <r>
    <x v="28"/>
    <x v="1"/>
    <n v="61"/>
    <n v="107"/>
    <n v="5"/>
    <x v="0"/>
  </r>
  <r>
    <x v="29"/>
    <x v="1"/>
    <n v="73"/>
    <n v="97"/>
    <n v="5"/>
    <x v="0"/>
  </r>
  <r>
    <x v="30"/>
    <x v="1"/>
    <n v="61"/>
    <n v="93"/>
    <n v="5"/>
    <x v="0"/>
  </r>
  <r>
    <x v="31"/>
    <x v="1"/>
    <n v="65"/>
    <n v="91"/>
    <n v="5"/>
    <x v="1"/>
  </r>
  <r>
    <x v="32"/>
    <x v="1"/>
    <n v="65"/>
    <n v="113"/>
    <n v="5"/>
    <x v="1"/>
  </r>
  <r>
    <x v="33"/>
    <x v="1"/>
    <n v="65"/>
    <n v="94"/>
    <n v="6"/>
    <x v="1"/>
  </r>
  <r>
    <x v="34"/>
    <x v="1"/>
    <n v="81"/>
    <n v="103"/>
    <n v="6"/>
    <x v="1"/>
  </r>
  <r>
    <x v="35"/>
    <x v="1"/>
    <n v="62"/>
    <n v="111"/>
    <n v="6"/>
    <x v="1"/>
  </r>
  <r>
    <x v="36"/>
    <x v="1"/>
    <n v="51"/>
    <n v="99"/>
    <n v="6"/>
    <x v="1"/>
  </r>
  <r>
    <x v="37"/>
    <x v="1"/>
    <n v="77"/>
    <n v="99"/>
    <n v="6"/>
    <x v="1"/>
  </r>
  <r>
    <x v="38"/>
    <x v="1"/>
    <n v="65"/>
    <n v="108"/>
    <n v="6"/>
    <x v="1"/>
  </r>
  <r>
    <x v="39"/>
    <x v="1"/>
    <n v="69"/>
    <n v="114"/>
    <n v="6"/>
    <x v="1"/>
  </r>
  <r>
    <x v="40"/>
    <x v="1"/>
    <n v="53"/>
    <n v="92"/>
    <n v="7"/>
    <x v="1"/>
  </r>
  <r>
    <x v="41"/>
    <x v="1"/>
    <n v="53"/>
    <n v="89"/>
    <n v="7"/>
    <x v="1"/>
  </r>
  <r>
    <x v="42"/>
    <x v="1"/>
    <n v="73"/>
    <n v="113"/>
    <n v="7"/>
    <x v="1"/>
  </r>
  <r>
    <x v="43"/>
    <x v="1"/>
    <n v="73"/>
    <n v="115"/>
    <n v="7"/>
    <x v="1"/>
  </r>
  <r>
    <x v="44"/>
    <x v="1"/>
    <n v="48"/>
    <n v="83"/>
    <n v="7"/>
    <x v="1"/>
  </r>
  <r>
    <x v="45"/>
    <x v="1"/>
    <n v="80"/>
    <n v="127"/>
    <n v="7"/>
    <x v="1"/>
  </r>
  <r>
    <x v="46"/>
    <x v="1"/>
    <n v="64"/>
    <n v="87"/>
    <n v="7"/>
    <x v="1"/>
  </r>
  <r>
    <x v="47"/>
    <x v="1"/>
    <n v="67"/>
    <n v="104"/>
    <n v="8"/>
    <x v="1"/>
  </r>
  <r>
    <x v="48"/>
    <x v="1"/>
    <n v="62"/>
    <n v="85"/>
    <n v="8"/>
    <x v="1"/>
  </r>
  <r>
    <x v="49"/>
    <x v="1"/>
    <n v="69"/>
    <n v="108"/>
    <n v="8"/>
    <x v="1"/>
  </r>
  <r>
    <x v="50"/>
    <x v="1"/>
    <n v="70"/>
    <n v="102"/>
    <n v="8"/>
    <x v="1"/>
  </r>
  <r>
    <x v="51"/>
    <x v="1"/>
    <n v="81"/>
    <n v="118"/>
    <n v="8"/>
    <x v="1"/>
  </r>
  <r>
    <x v="52"/>
    <x v="1"/>
    <n v="66"/>
    <n v="110"/>
    <n v="8"/>
    <x v="1"/>
  </r>
  <r>
    <x v="53"/>
    <x v="1"/>
    <n v="66"/>
    <n v="103"/>
    <n v="8"/>
    <x v="1"/>
  </r>
  <r>
    <x v="54"/>
    <x v="1"/>
    <n v="69"/>
    <n v="112"/>
    <n v="9"/>
    <x v="1"/>
  </r>
  <r>
    <x v="55"/>
    <x v="1"/>
    <n v="65"/>
    <n v="99"/>
    <n v="9"/>
    <x v="1"/>
  </r>
  <r>
    <x v="56"/>
    <x v="1"/>
    <n v="58"/>
    <n v="102"/>
    <n v="9"/>
    <x v="1"/>
  </r>
  <r>
    <x v="57"/>
    <x v="1"/>
    <n v="77"/>
    <n v="99"/>
    <n v="9"/>
    <x v="1"/>
  </r>
  <r>
    <x v="58"/>
    <x v="1"/>
    <n v="57"/>
    <n v="99"/>
    <n v="9"/>
    <x v="1"/>
  </r>
  <r>
    <x v="59"/>
    <x v="1"/>
    <n v="78"/>
    <n v="102"/>
    <n v="9"/>
    <x v="2"/>
  </r>
  <r>
    <x v="60"/>
    <x v="1"/>
    <n v="78"/>
    <n v="111"/>
    <n v="9"/>
    <x v="2"/>
  </r>
  <r>
    <x v="61"/>
    <x v="1"/>
    <n v="60"/>
    <n v="92"/>
    <n v="10"/>
    <x v="2"/>
  </r>
  <r>
    <x v="62"/>
    <x v="1"/>
    <n v="71"/>
    <n v="107"/>
    <n v="10"/>
    <x v="2"/>
  </r>
  <r>
    <x v="63"/>
    <x v="1"/>
    <n v="75"/>
    <n v="102"/>
    <n v="10"/>
    <x v="2"/>
  </r>
  <r>
    <x v="64"/>
    <x v="1"/>
    <n v="67"/>
    <n v="104"/>
    <n v="10"/>
    <x v="2"/>
  </r>
  <r>
    <x v="65"/>
    <x v="1"/>
    <n v="78"/>
    <n v="102"/>
    <n v="10"/>
    <x v="2"/>
  </r>
  <r>
    <x v="66"/>
    <x v="1"/>
    <n v="54"/>
    <n v="90"/>
    <n v="10"/>
    <x v="2"/>
  </r>
  <r>
    <x v="67"/>
    <x v="1"/>
    <n v="57"/>
    <n v="91"/>
    <n v="10"/>
    <x v="2"/>
  </r>
  <r>
    <x v="68"/>
    <x v="1"/>
    <n v="75"/>
    <n v="105"/>
    <n v="11"/>
    <x v="2"/>
  </r>
  <r>
    <x v="69"/>
    <x v="1"/>
    <n v="60"/>
    <n v="107"/>
    <n v="11"/>
    <x v="2"/>
  </r>
  <r>
    <x v="70"/>
    <x v="1"/>
    <n v="71"/>
    <n v="109"/>
    <n v="11"/>
    <x v="2"/>
  </r>
  <r>
    <x v="71"/>
    <x v="1"/>
    <n v="81"/>
    <n v="106"/>
    <n v="11"/>
    <x v="2"/>
  </r>
  <r>
    <x v="72"/>
    <x v="1"/>
    <n v="67"/>
    <n v="116"/>
    <n v="11"/>
    <x v="2"/>
  </r>
  <r>
    <x v="73"/>
    <x v="1"/>
    <n v="71"/>
    <n v="95"/>
    <n v="11"/>
    <x v="2"/>
  </r>
  <r>
    <x v="74"/>
    <x v="1"/>
    <n v="76"/>
    <n v="112"/>
    <n v="11"/>
    <x v="2"/>
  </r>
  <r>
    <x v="75"/>
    <x v="1"/>
    <n v="68"/>
    <n v="111"/>
    <n v="12"/>
    <x v="2"/>
  </r>
  <r>
    <x v="76"/>
    <x v="1"/>
    <n v="64"/>
    <n v="94"/>
    <n v="12"/>
    <x v="2"/>
  </r>
  <r>
    <x v="77"/>
    <x v="1"/>
    <n v="61"/>
    <n v="105"/>
    <n v="12"/>
    <x v="2"/>
  </r>
  <r>
    <x v="78"/>
    <x v="1"/>
    <n v="67"/>
    <n v="97"/>
    <n v="12"/>
    <x v="2"/>
  </r>
  <r>
    <x v="79"/>
    <x v="1"/>
    <n v="58"/>
    <n v="85"/>
    <n v="12"/>
    <x v="2"/>
  </r>
  <r>
    <x v="80"/>
    <x v="1"/>
    <n v="73"/>
    <n v="95"/>
    <n v="12"/>
    <x v="2"/>
  </r>
  <r>
    <x v="81"/>
    <x v="1"/>
    <n v="70"/>
    <n v="110"/>
    <n v="12"/>
    <x v="2"/>
  </r>
  <r>
    <x v="82"/>
    <x v="1"/>
    <n v="59"/>
    <n v="107"/>
    <n v="13"/>
    <x v="2"/>
  </r>
  <r>
    <x v="83"/>
    <x v="1"/>
    <n v="69"/>
    <n v="102"/>
    <n v="13"/>
    <x v="2"/>
  </r>
  <r>
    <x v="84"/>
    <x v="1"/>
    <n v="65"/>
    <n v="97"/>
    <n v="13"/>
    <x v="2"/>
  </r>
  <r>
    <x v="85"/>
    <x v="1"/>
    <n v="64"/>
    <n v="98"/>
    <n v="13"/>
    <x v="2"/>
  </r>
  <r>
    <x v="86"/>
    <x v="1"/>
    <n v="71"/>
    <n v="120"/>
    <n v="13"/>
    <x v="2"/>
  </r>
  <r>
    <x v="87"/>
    <x v="1"/>
    <n v="58"/>
    <n v="94"/>
    <n v="13"/>
    <x v="2"/>
  </r>
  <r>
    <x v="88"/>
    <x v="1"/>
    <n v="62"/>
    <n v="98"/>
    <n v="13"/>
    <x v="2"/>
  </r>
  <r>
    <x v="89"/>
    <x v="1"/>
    <n v="69"/>
    <n v="102"/>
    <n v="14"/>
    <x v="2"/>
  </r>
  <r>
    <x v="90"/>
    <x v="1"/>
    <n v="71"/>
    <n v="114"/>
    <n v="14"/>
    <x v="3"/>
  </r>
  <r>
    <x v="91"/>
    <x v="1"/>
    <n v="73"/>
    <n v="119"/>
    <n v="14"/>
    <x v="3"/>
  </r>
  <r>
    <x v="92"/>
    <x v="1"/>
    <n v="62"/>
    <n v="96"/>
    <n v="14"/>
    <x v="3"/>
  </r>
  <r>
    <x v="93"/>
    <x v="1"/>
    <n v="78"/>
    <n v="125"/>
    <n v="14"/>
    <x v="3"/>
  </r>
  <r>
    <x v="94"/>
    <x v="1"/>
    <n v="56"/>
    <n v="78"/>
    <n v="14"/>
    <x v="3"/>
  </r>
  <r>
    <x v="95"/>
    <x v="1"/>
    <n v="65"/>
    <n v="107"/>
    <n v="14"/>
    <x v="3"/>
  </r>
  <r>
    <x v="96"/>
    <x v="1"/>
    <n v="65"/>
    <n v="109"/>
    <n v="15"/>
    <x v="3"/>
  </r>
  <r>
    <x v="97"/>
    <x v="1"/>
    <n v="77"/>
    <n v="126"/>
    <n v="15"/>
    <x v="3"/>
  </r>
  <r>
    <x v="98"/>
    <x v="1"/>
    <n v="57"/>
    <n v="96"/>
    <n v="15"/>
    <x v="3"/>
  </r>
  <r>
    <x v="99"/>
    <x v="1"/>
    <n v="67"/>
    <n v="95"/>
    <n v="15"/>
    <x v="3"/>
  </r>
  <r>
    <x v="100"/>
    <x v="1"/>
    <n v="68"/>
    <n v="102"/>
    <n v="15"/>
    <x v="3"/>
  </r>
  <r>
    <x v="101"/>
    <x v="1"/>
    <n v="74"/>
    <n v="101"/>
    <n v="15"/>
    <x v="3"/>
  </r>
  <r>
    <x v="102"/>
    <x v="1"/>
    <n v="66"/>
    <n v="94"/>
    <n v="15"/>
    <x v="3"/>
  </r>
  <r>
    <x v="103"/>
    <x v="1"/>
    <n v="64"/>
    <n v="85"/>
    <n v="16"/>
    <x v="3"/>
  </r>
  <r>
    <x v="104"/>
    <x v="1"/>
    <n v="61"/>
    <n v="86"/>
    <n v="16"/>
    <x v="3"/>
  </r>
  <r>
    <x v="105"/>
    <x v="1"/>
    <n v="70"/>
    <n v="111"/>
    <n v="16"/>
    <x v="3"/>
  </r>
  <r>
    <x v="106"/>
    <x v="1"/>
    <n v="61"/>
    <n v="96"/>
    <n v="16"/>
    <x v="3"/>
  </r>
  <r>
    <x v="107"/>
    <x v="1"/>
    <n v="58"/>
    <n v="107"/>
    <n v="16"/>
    <x v="3"/>
  </r>
  <r>
    <x v="108"/>
    <x v="1"/>
    <n v="76"/>
    <n v="104"/>
    <n v="16"/>
    <x v="3"/>
  </r>
  <r>
    <x v="109"/>
    <x v="1"/>
    <n v="54"/>
    <n v="81"/>
    <n v="16"/>
    <x v="3"/>
  </r>
  <r>
    <x v="110"/>
    <x v="1"/>
    <n v="80"/>
    <n v="110"/>
    <n v="17"/>
    <x v="3"/>
  </r>
  <r>
    <x v="111"/>
    <x v="1"/>
    <n v="62"/>
    <n v="100"/>
    <n v="17"/>
    <x v="3"/>
  </r>
  <r>
    <x v="112"/>
    <x v="1"/>
    <n v="77"/>
    <n v="107"/>
    <n v="17"/>
    <x v="3"/>
  </r>
  <r>
    <x v="113"/>
    <x v="1"/>
    <n v="70"/>
    <n v="101"/>
    <n v="17"/>
    <x v="3"/>
  </r>
  <r>
    <x v="114"/>
    <x v="1"/>
    <n v="73"/>
    <n v="112"/>
    <n v="17"/>
    <x v="3"/>
  </r>
  <r>
    <x v="115"/>
    <x v="1"/>
    <n v="61"/>
    <n v="106"/>
    <n v="17"/>
    <x v="3"/>
  </r>
  <r>
    <x v="116"/>
    <x v="1"/>
    <n v="75"/>
    <n v="124"/>
    <n v="17"/>
    <x v="3"/>
  </r>
  <r>
    <x v="117"/>
    <x v="1"/>
    <n v="58"/>
    <n v="88"/>
    <n v="18"/>
    <x v="3"/>
  </r>
  <r>
    <x v="118"/>
    <x v="1"/>
    <n v="70"/>
    <n v="113"/>
    <n v="18"/>
    <x v="3"/>
  </r>
  <r>
    <x v="119"/>
    <x v="1"/>
    <n v="57"/>
    <n v="88"/>
    <n v="18"/>
    <x v="3"/>
  </r>
  <r>
    <x v="0"/>
    <x v="2"/>
    <n v="47"/>
    <n v="67"/>
    <n v="1"/>
    <x v="0"/>
  </r>
  <r>
    <x v="1"/>
    <x v="2"/>
    <n v="42"/>
    <n v="70"/>
    <n v="1"/>
    <x v="0"/>
  </r>
  <r>
    <x v="2"/>
    <x v="2"/>
    <n v="53"/>
    <n v="95"/>
    <n v="1"/>
    <x v="0"/>
  </r>
  <r>
    <x v="3"/>
    <x v="2"/>
    <n v="58"/>
    <n v="82"/>
    <n v="1"/>
    <x v="0"/>
  </r>
  <r>
    <x v="4"/>
    <x v="2"/>
    <n v="41"/>
    <n v="69"/>
    <n v="1"/>
    <x v="0"/>
  </r>
  <r>
    <x v="5"/>
    <x v="2"/>
    <n v="44"/>
    <n v="64"/>
    <n v="2"/>
    <x v="0"/>
  </r>
  <r>
    <x v="6"/>
    <x v="2"/>
    <n v="56"/>
    <n v="104"/>
    <n v="2"/>
    <x v="0"/>
  </r>
  <r>
    <x v="7"/>
    <x v="2"/>
    <n v="42"/>
    <n v="75"/>
    <n v="2"/>
    <x v="0"/>
  </r>
  <r>
    <x v="8"/>
    <x v="2"/>
    <n v="44"/>
    <n v="77"/>
    <n v="2"/>
    <x v="0"/>
  </r>
  <r>
    <x v="9"/>
    <x v="2"/>
    <n v="51"/>
    <n v="83"/>
    <n v="2"/>
    <x v="0"/>
  </r>
  <r>
    <x v="10"/>
    <x v="2"/>
    <n v="53"/>
    <n v="80"/>
    <n v="2"/>
    <x v="0"/>
  </r>
  <r>
    <x v="11"/>
    <x v="2"/>
    <n v="50"/>
    <n v="88"/>
    <n v="2"/>
    <x v="0"/>
  </r>
  <r>
    <x v="12"/>
    <x v="2"/>
    <n v="54"/>
    <n v="88"/>
    <n v="3"/>
    <x v="0"/>
  </r>
  <r>
    <x v="13"/>
    <x v="2"/>
    <n v="53"/>
    <n v="87"/>
    <n v="3"/>
    <x v="0"/>
  </r>
  <r>
    <x v="14"/>
    <x v="2"/>
    <n v="48"/>
    <n v="75"/>
    <n v="3"/>
    <x v="0"/>
  </r>
  <r>
    <x v="15"/>
    <x v="2"/>
    <n v="45"/>
    <n v="70"/>
    <n v="3"/>
    <x v="0"/>
  </r>
  <r>
    <x v="16"/>
    <x v="2"/>
    <n v="65"/>
    <n v="92"/>
    <n v="3"/>
    <x v="0"/>
  </r>
  <r>
    <x v="17"/>
    <x v="2"/>
    <n v="55"/>
    <n v="89"/>
    <n v="3"/>
    <x v="0"/>
  </r>
  <r>
    <x v="18"/>
    <x v="2"/>
    <n v="53"/>
    <n v="79"/>
    <n v="3"/>
    <x v="0"/>
  </r>
  <r>
    <x v="19"/>
    <x v="2"/>
    <n v="57"/>
    <n v="103"/>
    <n v="4"/>
    <x v="0"/>
  </r>
  <r>
    <x v="20"/>
    <x v="2"/>
    <n v="56"/>
    <n v="97"/>
    <n v="4"/>
    <x v="0"/>
  </r>
  <r>
    <x v="21"/>
    <x v="2"/>
    <n v="56"/>
    <n v="85"/>
    <n v="4"/>
    <x v="0"/>
  </r>
  <r>
    <x v="22"/>
    <x v="2"/>
    <n v="48"/>
    <n v="82"/>
    <n v="4"/>
    <x v="0"/>
  </r>
  <r>
    <x v="23"/>
    <x v="2"/>
    <n v="59"/>
    <n v="102"/>
    <n v="4"/>
    <x v="0"/>
  </r>
  <r>
    <x v="24"/>
    <x v="2"/>
    <n v="51"/>
    <n v="99"/>
    <n v="4"/>
    <x v="0"/>
  </r>
  <r>
    <x v="25"/>
    <x v="2"/>
    <n v="45"/>
    <n v="66"/>
    <n v="4"/>
    <x v="0"/>
  </r>
  <r>
    <x v="26"/>
    <x v="2"/>
    <n v="52"/>
    <n v="98"/>
    <n v="5"/>
    <x v="0"/>
  </r>
  <r>
    <x v="27"/>
    <x v="2"/>
    <n v="48"/>
    <n v="77"/>
    <n v="5"/>
    <x v="0"/>
  </r>
  <r>
    <x v="28"/>
    <x v="2"/>
    <n v="48"/>
    <n v="90"/>
    <n v="5"/>
    <x v="0"/>
  </r>
  <r>
    <x v="29"/>
    <x v="2"/>
    <n v="50"/>
    <n v="81"/>
    <n v="5"/>
    <x v="0"/>
  </r>
  <r>
    <x v="30"/>
    <x v="2"/>
    <n v="63"/>
    <n v="100"/>
    <n v="5"/>
    <x v="0"/>
  </r>
  <r>
    <x v="31"/>
    <x v="2"/>
    <n v="53"/>
    <n v="100"/>
    <n v="5"/>
    <x v="1"/>
  </r>
  <r>
    <x v="32"/>
    <x v="2"/>
    <n v="53"/>
    <n v="88"/>
    <n v="5"/>
    <x v="1"/>
  </r>
  <r>
    <x v="33"/>
    <x v="2"/>
    <n v="55"/>
    <n v="102"/>
    <n v="6"/>
    <x v="1"/>
  </r>
  <r>
    <x v="34"/>
    <x v="2"/>
    <n v="48"/>
    <n v="86"/>
    <n v="6"/>
    <x v="1"/>
  </r>
  <r>
    <x v="35"/>
    <x v="2"/>
    <n v="64"/>
    <n v="97"/>
    <n v="6"/>
    <x v="1"/>
  </r>
  <r>
    <x v="36"/>
    <x v="2"/>
    <n v="45"/>
    <n v="68"/>
    <n v="6"/>
    <x v="1"/>
  </r>
  <r>
    <x v="37"/>
    <x v="2"/>
    <n v="60"/>
    <n v="87"/>
    <n v="6"/>
    <x v="1"/>
  </r>
  <r>
    <x v="38"/>
    <x v="2"/>
    <n v="53"/>
    <n v="93"/>
    <n v="6"/>
    <x v="1"/>
  </r>
  <r>
    <x v="39"/>
    <x v="2"/>
    <n v="47"/>
    <n v="87"/>
    <n v="6"/>
    <x v="1"/>
  </r>
  <r>
    <x v="40"/>
    <x v="2"/>
    <n v="53"/>
    <n v="92"/>
    <n v="7"/>
    <x v="1"/>
  </r>
  <r>
    <x v="41"/>
    <x v="2"/>
    <n v="52"/>
    <n v="73"/>
    <n v="7"/>
    <x v="1"/>
  </r>
  <r>
    <x v="42"/>
    <x v="2"/>
    <n v="50"/>
    <n v="96"/>
    <n v="7"/>
    <x v="1"/>
  </r>
  <r>
    <x v="43"/>
    <x v="2"/>
    <n v="50"/>
    <n v="81"/>
    <n v="7"/>
    <x v="1"/>
  </r>
  <r>
    <x v="44"/>
    <x v="2"/>
    <n v="63"/>
    <n v="107"/>
    <n v="7"/>
    <x v="1"/>
  </r>
  <r>
    <x v="45"/>
    <x v="2"/>
    <n v="51"/>
    <n v="94"/>
    <n v="7"/>
    <x v="1"/>
  </r>
  <r>
    <x v="46"/>
    <x v="2"/>
    <n v="47"/>
    <n v="77"/>
    <n v="7"/>
    <x v="1"/>
  </r>
  <r>
    <x v="47"/>
    <x v="2"/>
    <n v="54"/>
    <n v="94"/>
    <n v="8"/>
    <x v="1"/>
  </r>
  <r>
    <x v="48"/>
    <x v="2"/>
    <n v="50"/>
    <n v="91"/>
    <n v="8"/>
    <x v="1"/>
  </r>
  <r>
    <x v="49"/>
    <x v="2"/>
    <n v="51"/>
    <n v="83"/>
    <n v="8"/>
    <x v="1"/>
  </r>
  <r>
    <x v="50"/>
    <x v="2"/>
    <n v="49"/>
    <n v="92"/>
    <n v="8"/>
    <x v="1"/>
  </r>
  <r>
    <x v="51"/>
    <x v="2"/>
    <n v="62"/>
    <n v="110"/>
    <n v="8"/>
    <x v="1"/>
  </r>
  <r>
    <x v="52"/>
    <x v="2"/>
    <n v="54"/>
    <n v="89"/>
    <n v="8"/>
    <x v="1"/>
  </r>
  <r>
    <x v="53"/>
    <x v="2"/>
    <n v="52"/>
    <n v="85"/>
    <n v="8"/>
    <x v="1"/>
  </r>
  <r>
    <x v="54"/>
    <x v="2"/>
    <n v="56"/>
    <n v="97"/>
    <n v="9"/>
    <x v="1"/>
  </r>
  <r>
    <x v="55"/>
    <x v="2"/>
    <n v="50"/>
    <n v="75"/>
    <n v="9"/>
    <x v="1"/>
  </r>
  <r>
    <x v="56"/>
    <x v="2"/>
    <n v="57"/>
    <n v="84"/>
    <n v="9"/>
    <x v="1"/>
  </r>
  <r>
    <x v="57"/>
    <x v="2"/>
    <n v="48"/>
    <n v="81"/>
    <n v="9"/>
    <x v="1"/>
  </r>
  <r>
    <x v="58"/>
    <x v="2"/>
    <n v="51"/>
    <n v="93"/>
    <n v="9"/>
    <x v="1"/>
  </r>
  <r>
    <x v="59"/>
    <x v="2"/>
    <n v="43"/>
    <n v="91"/>
    <n v="9"/>
    <x v="2"/>
  </r>
  <r>
    <x v="60"/>
    <x v="2"/>
    <n v="49"/>
    <n v="71"/>
    <n v="9"/>
    <x v="2"/>
  </r>
  <r>
    <x v="61"/>
    <x v="2"/>
    <n v="45"/>
    <n v="93"/>
    <n v="10"/>
    <x v="2"/>
  </r>
  <r>
    <x v="62"/>
    <x v="2"/>
    <n v="53"/>
    <n v="77"/>
    <n v="10"/>
    <x v="2"/>
  </r>
  <r>
    <x v="63"/>
    <x v="2"/>
    <n v="43"/>
    <n v="77"/>
    <n v="10"/>
    <x v="2"/>
  </r>
  <r>
    <x v="64"/>
    <x v="2"/>
    <n v="56"/>
    <n v="99"/>
    <n v="10"/>
    <x v="2"/>
  </r>
  <r>
    <x v="65"/>
    <x v="2"/>
    <n v="59"/>
    <n v="83"/>
    <n v="10"/>
    <x v="2"/>
  </r>
  <r>
    <x v="66"/>
    <x v="2"/>
    <n v="42"/>
    <n v="84"/>
    <n v="10"/>
    <x v="2"/>
  </r>
  <r>
    <x v="67"/>
    <x v="2"/>
    <n v="62"/>
    <n v="88"/>
    <n v="10"/>
    <x v="2"/>
  </r>
  <r>
    <x v="68"/>
    <x v="2"/>
    <n v="56"/>
    <n v="91"/>
    <n v="11"/>
    <x v="2"/>
  </r>
  <r>
    <x v="69"/>
    <x v="2"/>
    <n v="43"/>
    <n v="90"/>
    <n v="11"/>
    <x v="2"/>
  </r>
  <r>
    <x v="70"/>
    <x v="2"/>
    <n v="55"/>
    <n v="79"/>
    <n v="11"/>
    <x v="2"/>
  </r>
  <r>
    <x v="71"/>
    <x v="2"/>
    <n v="48"/>
    <n v="69"/>
    <n v="11"/>
    <x v="2"/>
  </r>
  <r>
    <x v="72"/>
    <x v="2"/>
    <n v="48"/>
    <n v="87"/>
    <n v="11"/>
    <x v="2"/>
  </r>
  <r>
    <x v="73"/>
    <x v="2"/>
    <n v="54"/>
    <n v="103"/>
    <n v="11"/>
    <x v="2"/>
  </r>
  <r>
    <x v="74"/>
    <x v="2"/>
    <n v="48"/>
    <n v="70"/>
    <n v="11"/>
    <x v="2"/>
  </r>
  <r>
    <x v="75"/>
    <x v="2"/>
    <n v="42"/>
    <n v="85"/>
    <n v="12"/>
    <x v="2"/>
  </r>
  <r>
    <x v="76"/>
    <x v="2"/>
    <n v="43"/>
    <n v="79"/>
    <n v="12"/>
    <x v="2"/>
  </r>
  <r>
    <x v="77"/>
    <x v="2"/>
    <n v="46"/>
    <n v="78"/>
    <n v="12"/>
    <x v="2"/>
  </r>
  <r>
    <x v="78"/>
    <x v="2"/>
    <n v="49"/>
    <n v="90"/>
    <n v="12"/>
    <x v="2"/>
  </r>
  <r>
    <x v="79"/>
    <x v="2"/>
    <n v="51"/>
    <n v="93"/>
    <n v="12"/>
    <x v="2"/>
  </r>
  <r>
    <x v="80"/>
    <x v="2"/>
    <n v="55"/>
    <n v="95"/>
    <n v="12"/>
    <x v="2"/>
  </r>
  <r>
    <x v="81"/>
    <x v="2"/>
    <n v="58"/>
    <n v="79"/>
    <n v="12"/>
    <x v="2"/>
  </r>
  <r>
    <x v="82"/>
    <x v="2"/>
    <n v="52"/>
    <n v="97"/>
    <n v="13"/>
    <x v="2"/>
  </r>
  <r>
    <x v="83"/>
    <x v="2"/>
    <n v="56"/>
    <n v="97"/>
    <n v="13"/>
    <x v="2"/>
  </r>
  <r>
    <x v="84"/>
    <x v="2"/>
    <n v="42"/>
    <n v="67"/>
    <n v="13"/>
    <x v="2"/>
  </r>
  <r>
    <x v="85"/>
    <x v="2"/>
    <n v="56"/>
    <n v="88"/>
    <n v="13"/>
    <x v="2"/>
  </r>
  <r>
    <x v="86"/>
    <x v="2"/>
    <n v="54"/>
    <n v="86"/>
    <n v="13"/>
    <x v="2"/>
  </r>
  <r>
    <x v="87"/>
    <x v="2"/>
    <n v="59"/>
    <n v="108"/>
    <n v="13"/>
    <x v="2"/>
  </r>
  <r>
    <x v="88"/>
    <x v="2"/>
    <n v="51"/>
    <n v="98"/>
    <n v="13"/>
    <x v="2"/>
  </r>
  <r>
    <x v="89"/>
    <x v="2"/>
    <n v="69"/>
    <n v="109"/>
    <n v="14"/>
    <x v="2"/>
  </r>
  <r>
    <x v="90"/>
    <x v="2"/>
    <n v="53"/>
    <n v="93"/>
    <n v="14"/>
    <x v="3"/>
  </r>
  <r>
    <x v="91"/>
    <x v="2"/>
    <n v="59"/>
    <n v="82"/>
    <n v="14"/>
    <x v="3"/>
  </r>
  <r>
    <x v="92"/>
    <x v="2"/>
    <n v="56"/>
    <n v="78"/>
    <n v="14"/>
    <x v="3"/>
  </r>
  <r>
    <x v="93"/>
    <x v="2"/>
    <n v="67"/>
    <n v="110"/>
    <n v="14"/>
    <x v="3"/>
  </r>
  <r>
    <x v="94"/>
    <x v="2"/>
    <n v="65"/>
    <n v="85"/>
    <n v="14"/>
    <x v="3"/>
  </r>
  <r>
    <x v="95"/>
    <x v="2"/>
    <n v="46"/>
    <n v="84"/>
    <n v="14"/>
    <x v="3"/>
  </r>
  <r>
    <x v="96"/>
    <x v="2"/>
    <n v="53"/>
    <n v="102"/>
    <n v="15"/>
    <x v="3"/>
  </r>
  <r>
    <x v="97"/>
    <x v="2"/>
    <n v="68"/>
    <n v="96"/>
    <n v="15"/>
    <x v="3"/>
  </r>
  <r>
    <x v="98"/>
    <x v="2"/>
    <n v="57"/>
    <n v="85"/>
    <n v="15"/>
    <x v="3"/>
  </r>
  <r>
    <x v="99"/>
    <x v="2"/>
    <n v="48"/>
    <n v="96"/>
    <n v="15"/>
    <x v="3"/>
  </r>
  <r>
    <x v="100"/>
    <x v="2"/>
    <n v="55"/>
    <n v="81"/>
    <n v="15"/>
    <x v="3"/>
  </r>
  <r>
    <x v="101"/>
    <x v="2"/>
    <n v="38"/>
    <n v="69"/>
    <n v="15"/>
    <x v="3"/>
  </r>
  <r>
    <x v="102"/>
    <x v="2"/>
    <n v="55"/>
    <n v="76"/>
    <n v="15"/>
    <x v="3"/>
  </r>
  <r>
    <x v="103"/>
    <x v="2"/>
    <n v="40"/>
    <n v="86"/>
    <n v="16"/>
    <x v="3"/>
  </r>
  <r>
    <x v="104"/>
    <x v="2"/>
    <n v="63"/>
    <n v="92"/>
    <n v="16"/>
    <x v="3"/>
  </r>
  <r>
    <x v="105"/>
    <x v="2"/>
    <n v="55"/>
    <n v="86"/>
    <n v="16"/>
    <x v="3"/>
  </r>
  <r>
    <x v="106"/>
    <x v="2"/>
    <n v="52"/>
    <n v="79"/>
    <n v="16"/>
    <x v="3"/>
  </r>
  <r>
    <x v="107"/>
    <x v="2"/>
    <n v="54"/>
    <n v="78"/>
    <n v="16"/>
    <x v="3"/>
  </r>
  <r>
    <x v="108"/>
    <x v="2"/>
    <n v="55"/>
    <n v="99"/>
    <n v="16"/>
    <x v="3"/>
  </r>
  <r>
    <x v="109"/>
    <x v="2"/>
    <n v="62"/>
    <n v="108"/>
    <n v="16"/>
    <x v="3"/>
  </r>
  <r>
    <x v="110"/>
    <x v="2"/>
    <n v="64"/>
    <n v="104"/>
    <n v="17"/>
    <x v="3"/>
  </r>
  <r>
    <x v="111"/>
    <x v="2"/>
    <n v="50"/>
    <n v="84"/>
    <n v="17"/>
    <x v="3"/>
  </r>
  <r>
    <x v="112"/>
    <x v="2"/>
    <n v="55"/>
    <n v="90"/>
    <n v="17"/>
    <x v="3"/>
  </r>
  <r>
    <x v="113"/>
    <x v="2"/>
    <n v="41"/>
    <n v="89"/>
    <n v="17"/>
    <x v="3"/>
  </r>
  <r>
    <x v="114"/>
    <x v="2"/>
    <n v="50"/>
    <n v="76"/>
    <n v="17"/>
    <x v="3"/>
  </r>
  <r>
    <x v="115"/>
    <x v="2"/>
    <n v="50"/>
    <n v="76"/>
    <n v="17"/>
    <x v="3"/>
  </r>
  <r>
    <x v="116"/>
    <x v="2"/>
    <n v="45"/>
    <n v="66"/>
    <n v="17"/>
    <x v="3"/>
  </r>
  <r>
    <x v="117"/>
    <x v="2"/>
    <n v="61"/>
    <n v="106"/>
    <n v="18"/>
    <x v="3"/>
  </r>
  <r>
    <x v="118"/>
    <x v="2"/>
    <n v="56"/>
    <n v="90"/>
    <n v="18"/>
    <x v="3"/>
  </r>
  <r>
    <x v="119"/>
    <x v="2"/>
    <n v="58"/>
    <n v="99"/>
    <n v="18"/>
    <x v="3"/>
  </r>
  <r>
    <x v="0"/>
    <x v="3"/>
    <n v="80"/>
    <n v="112"/>
    <n v="1"/>
    <x v="0"/>
  </r>
  <r>
    <x v="1"/>
    <x v="3"/>
    <n v="77"/>
    <n v="119"/>
    <n v="1"/>
    <x v="0"/>
  </r>
  <r>
    <x v="2"/>
    <x v="3"/>
    <n v="71"/>
    <n v="117"/>
    <n v="1"/>
    <x v="0"/>
  </r>
  <r>
    <x v="3"/>
    <x v="3"/>
    <n v="81"/>
    <n v="121"/>
    <n v="1"/>
    <x v="0"/>
  </r>
  <r>
    <x v="4"/>
    <x v="3"/>
    <n v="73"/>
    <n v="104"/>
    <n v="1"/>
    <x v="0"/>
  </r>
  <r>
    <x v="5"/>
    <x v="3"/>
    <n v="72"/>
    <n v="96"/>
    <n v="2"/>
    <x v="0"/>
  </r>
  <r>
    <x v="6"/>
    <x v="3"/>
    <n v="80"/>
    <n v="112"/>
    <n v="2"/>
    <x v="0"/>
  </r>
  <r>
    <x v="7"/>
    <x v="3"/>
    <n v="70"/>
    <n v="93"/>
    <n v="2"/>
    <x v="0"/>
  </r>
  <r>
    <x v="8"/>
    <x v="3"/>
    <n v="80"/>
    <n v="115"/>
    <n v="2"/>
    <x v="0"/>
  </r>
  <r>
    <x v="9"/>
    <x v="3"/>
    <n v="72"/>
    <n v="115"/>
    <n v="2"/>
    <x v="0"/>
  </r>
  <r>
    <x v="10"/>
    <x v="3"/>
    <n v="82"/>
    <n v="129"/>
    <n v="2"/>
    <x v="0"/>
  </r>
  <r>
    <x v="11"/>
    <x v="3"/>
    <n v="72"/>
    <n v="105"/>
    <n v="2"/>
    <x v="0"/>
  </r>
  <r>
    <x v="12"/>
    <x v="3"/>
    <n v="76"/>
    <n v="97"/>
    <n v="3"/>
    <x v="0"/>
  </r>
  <r>
    <x v="13"/>
    <x v="3"/>
    <n v="78"/>
    <n v="110"/>
    <n v="3"/>
    <x v="0"/>
  </r>
  <r>
    <x v="14"/>
    <x v="3"/>
    <n v="62"/>
    <n v="106"/>
    <n v="3"/>
    <x v="0"/>
  </r>
  <r>
    <x v="15"/>
    <x v="3"/>
    <n v="66"/>
    <n v="88"/>
    <n v="3"/>
    <x v="0"/>
  </r>
  <r>
    <x v="16"/>
    <x v="3"/>
    <n v="83"/>
    <n v="124"/>
    <n v="3"/>
    <x v="0"/>
  </r>
  <r>
    <x v="17"/>
    <x v="3"/>
    <n v="65"/>
    <n v="102"/>
    <n v="3"/>
    <x v="0"/>
  </r>
  <r>
    <x v="18"/>
    <x v="3"/>
    <n v="87"/>
    <n v="119"/>
    <n v="3"/>
    <x v="0"/>
  </r>
  <r>
    <x v="19"/>
    <x v="3"/>
    <n v="66"/>
    <n v="94"/>
    <n v="4"/>
    <x v="0"/>
  </r>
  <r>
    <x v="20"/>
    <x v="3"/>
    <n v="73"/>
    <n v="119"/>
    <n v="4"/>
    <x v="0"/>
  </r>
  <r>
    <x v="21"/>
    <x v="3"/>
    <n v="63"/>
    <n v="107"/>
    <n v="4"/>
    <x v="0"/>
  </r>
  <r>
    <x v="22"/>
    <x v="3"/>
    <n v="84"/>
    <n v="118"/>
    <n v="4"/>
    <x v="0"/>
  </r>
  <r>
    <x v="23"/>
    <x v="3"/>
    <n v="78"/>
    <n v="124"/>
    <n v="4"/>
    <x v="0"/>
  </r>
  <r>
    <x v="24"/>
    <x v="3"/>
    <n v="68"/>
    <n v="93"/>
    <n v="4"/>
    <x v="0"/>
  </r>
  <r>
    <x v="25"/>
    <x v="3"/>
    <n v="68"/>
    <n v="113"/>
    <n v="4"/>
    <x v="0"/>
  </r>
  <r>
    <x v="26"/>
    <x v="3"/>
    <n v="75"/>
    <n v="110"/>
    <n v="5"/>
    <x v="0"/>
  </r>
  <r>
    <x v="27"/>
    <x v="3"/>
    <n v="79"/>
    <n v="115"/>
    <n v="5"/>
    <x v="0"/>
  </r>
  <r>
    <x v="28"/>
    <x v="3"/>
    <n v="74"/>
    <n v="96"/>
    <n v="5"/>
    <x v="0"/>
  </r>
  <r>
    <x v="29"/>
    <x v="3"/>
    <n v="70"/>
    <n v="116"/>
    <n v="5"/>
    <x v="0"/>
  </r>
  <r>
    <x v="30"/>
    <x v="3"/>
    <n v="85"/>
    <n v="128"/>
    <n v="5"/>
    <x v="0"/>
  </r>
  <r>
    <x v="31"/>
    <x v="3"/>
    <n v="82"/>
    <n v="102"/>
    <n v="5"/>
    <x v="1"/>
  </r>
  <r>
    <x v="32"/>
    <x v="3"/>
    <n v="64"/>
    <n v="96"/>
    <n v="5"/>
    <x v="1"/>
  </r>
  <r>
    <x v="33"/>
    <x v="3"/>
    <n v="84"/>
    <n v="113"/>
    <n v="6"/>
    <x v="1"/>
  </r>
  <r>
    <x v="34"/>
    <x v="3"/>
    <n v="61"/>
    <n v="108"/>
    <n v="6"/>
    <x v="1"/>
  </r>
  <r>
    <x v="35"/>
    <x v="3"/>
    <n v="64"/>
    <n v="109"/>
    <n v="6"/>
    <x v="1"/>
  </r>
  <r>
    <x v="36"/>
    <x v="3"/>
    <n v="73"/>
    <n v="102"/>
    <n v="6"/>
    <x v="1"/>
  </r>
  <r>
    <x v="37"/>
    <x v="3"/>
    <n v="63"/>
    <n v="112"/>
    <n v="6"/>
    <x v="1"/>
  </r>
  <r>
    <x v="38"/>
    <x v="3"/>
    <n v="88"/>
    <n v="109"/>
    <n v="6"/>
    <x v="1"/>
  </r>
  <r>
    <x v="39"/>
    <x v="3"/>
    <n v="83"/>
    <n v="109"/>
    <n v="6"/>
    <x v="1"/>
  </r>
  <r>
    <x v="40"/>
    <x v="3"/>
    <n v="65"/>
    <n v="111"/>
    <n v="7"/>
    <x v="1"/>
  </r>
  <r>
    <x v="41"/>
    <x v="3"/>
    <n v="68"/>
    <n v="111"/>
    <n v="7"/>
    <x v="1"/>
  </r>
  <r>
    <x v="42"/>
    <x v="3"/>
    <n v="83"/>
    <n v="121"/>
    <n v="7"/>
    <x v="1"/>
  </r>
  <r>
    <x v="43"/>
    <x v="3"/>
    <n v="81"/>
    <n v="102"/>
    <n v="7"/>
    <x v="1"/>
  </r>
  <r>
    <x v="44"/>
    <x v="3"/>
    <n v="70"/>
    <n v="119"/>
    <n v="7"/>
    <x v="1"/>
  </r>
  <r>
    <x v="45"/>
    <x v="3"/>
    <n v="81"/>
    <n v="120"/>
    <n v="7"/>
    <x v="1"/>
  </r>
  <r>
    <x v="46"/>
    <x v="3"/>
    <n v="79"/>
    <n v="125"/>
    <n v="7"/>
    <x v="1"/>
  </r>
  <r>
    <x v="47"/>
    <x v="3"/>
    <n v="64"/>
    <n v="100"/>
    <n v="8"/>
    <x v="1"/>
  </r>
  <r>
    <x v="48"/>
    <x v="3"/>
    <n v="76"/>
    <n v="121"/>
    <n v="8"/>
    <x v="1"/>
  </r>
  <r>
    <x v="49"/>
    <x v="3"/>
    <n v="59"/>
    <n v="92"/>
    <n v="8"/>
    <x v="1"/>
  </r>
  <r>
    <x v="50"/>
    <x v="3"/>
    <n v="81"/>
    <n v="129"/>
    <n v="8"/>
    <x v="1"/>
  </r>
  <r>
    <x v="51"/>
    <x v="3"/>
    <n v="71"/>
    <n v="91"/>
    <n v="8"/>
    <x v="1"/>
  </r>
  <r>
    <x v="52"/>
    <x v="3"/>
    <n v="69"/>
    <n v="107"/>
    <n v="8"/>
    <x v="1"/>
  </r>
  <r>
    <x v="53"/>
    <x v="3"/>
    <n v="67"/>
    <n v="88"/>
    <n v="8"/>
    <x v="1"/>
  </r>
  <r>
    <x v="54"/>
    <x v="3"/>
    <n v="72"/>
    <n v="98"/>
    <n v="9"/>
    <x v="1"/>
  </r>
  <r>
    <x v="55"/>
    <x v="3"/>
    <n v="75"/>
    <n v="105"/>
    <n v="9"/>
    <x v="1"/>
  </r>
  <r>
    <x v="56"/>
    <x v="3"/>
    <n v="66"/>
    <n v="99"/>
    <n v="9"/>
    <x v="1"/>
  </r>
  <r>
    <x v="57"/>
    <x v="3"/>
    <n v="67"/>
    <n v="89"/>
    <n v="9"/>
    <x v="1"/>
  </r>
  <r>
    <x v="58"/>
    <x v="3"/>
    <n v="93"/>
    <n v="140"/>
    <n v="9"/>
    <x v="1"/>
  </r>
  <r>
    <x v="59"/>
    <x v="3"/>
    <n v="81"/>
    <n v="127"/>
    <n v="9"/>
    <x v="2"/>
  </r>
  <r>
    <x v="60"/>
    <x v="3"/>
    <n v="72"/>
    <n v="106"/>
    <n v="9"/>
    <x v="2"/>
  </r>
  <r>
    <x v="61"/>
    <x v="3"/>
    <n v="80"/>
    <n v="116"/>
    <n v="10"/>
    <x v="2"/>
  </r>
  <r>
    <x v="62"/>
    <x v="3"/>
    <n v="78"/>
    <n v="112"/>
    <n v="10"/>
    <x v="2"/>
  </r>
  <r>
    <x v="63"/>
    <x v="3"/>
    <n v="73"/>
    <n v="120"/>
    <n v="10"/>
    <x v="2"/>
  </r>
  <r>
    <x v="64"/>
    <x v="3"/>
    <n v="65"/>
    <n v="105"/>
    <n v="10"/>
    <x v="2"/>
  </r>
  <r>
    <x v="65"/>
    <x v="3"/>
    <n v="64"/>
    <n v="101"/>
    <n v="10"/>
    <x v="2"/>
  </r>
  <r>
    <x v="66"/>
    <x v="3"/>
    <n v="81"/>
    <n v="112"/>
    <n v="10"/>
    <x v="2"/>
  </r>
  <r>
    <x v="67"/>
    <x v="3"/>
    <n v="77"/>
    <n v="121"/>
    <n v="10"/>
    <x v="2"/>
  </r>
  <r>
    <x v="68"/>
    <x v="3"/>
    <n v="77"/>
    <n v="105"/>
    <n v="11"/>
    <x v="2"/>
  </r>
  <r>
    <x v="69"/>
    <x v="3"/>
    <n v="66"/>
    <n v="107"/>
    <n v="11"/>
    <x v="2"/>
  </r>
  <r>
    <x v="70"/>
    <x v="3"/>
    <n v="76"/>
    <n v="119"/>
    <n v="11"/>
    <x v="2"/>
  </r>
  <r>
    <x v="71"/>
    <x v="3"/>
    <n v="64"/>
    <n v="113"/>
    <n v="11"/>
    <x v="2"/>
  </r>
  <r>
    <x v="72"/>
    <x v="3"/>
    <n v="71"/>
    <n v="96"/>
    <n v="11"/>
    <x v="2"/>
  </r>
  <r>
    <x v="73"/>
    <x v="3"/>
    <n v="68"/>
    <n v="88"/>
    <n v="11"/>
    <x v="2"/>
  </r>
  <r>
    <x v="74"/>
    <x v="3"/>
    <n v="80"/>
    <n v="108"/>
    <n v="11"/>
    <x v="2"/>
  </r>
  <r>
    <x v="75"/>
    <x v="3"/>
    <n v="63"/>
    <n v="104"/>
    <n v="12"/>
    <x v="2"/>
  </r>
  <r>
    <x v="76"/>
    <x v="3"/>
    <n v="66"/>
    <n v="93"/>
    <n v="12"/>
    <x v="2"/>
  </r>
  <r>
    <x v="77"/>
    <x v="3"/>
    <n v="74"/>
    <n v="106"/>
    <n v="12"/>
    <x v="2"/>
  </r>
  <r>
    <x v="78"/>
    <x v="3"/>
    <n v="59"/>
    <n v="104"/>
    <n v="12"/>
    <x v="2"/>
  </r>
  <r>
    <x v="79"/>
    <x v="3"/>
    <n v="71"/>
    <n v="97"/>
    <n v="12"/>
    <x v="2"/>
  </r>
  <r>
    <x v="80"/>
    <x v="3"/>
    <n v="66"/>
    <n v="100"/>
    <n v="12"/>
    <x v="2"/>
  </r>
  <r>
    <x v="81"/>
    <x v="3"/>
    <n v="66"/>
    <n v="102"/>
    <n v="12"/>
    <x v="2"/>
  </r>
  <r>
    <x v="82"/>
    <x v="3"/>
    <n v="94"/>
    <n v="140"/>
    <n v="13"/>
    <x v="2"/>
  </r>
  <r>
    <x v="83"/>
    <x v="3"/>
    <n v="55"/>
    <n v="92"/>
    <n v="13"/>
    <x v="2"/>
  </r>
  <r>
    <x v="84"/>
    <x v="3"/>
    <n v="77"/>
    <n v="111"/>
    <n v="13"/>
    <x v="2"/>
  </r>
  <r>
    <x v="85"/>
    <x v="3"/>
    <n v="83"/>
    <n v="122"/>
    <n v="13"/>
    <x v="2"/>
  </r>
  <r>
    <x v="86"/>
    <x v="3"/>
    <n v="75"/>
    <n v="116"/>
    <n v="13"/>
    <x v="2"/>
  </r>
  <r>
    <x v="87"/>
    <x v="3"/>
    <n v="73"/>
    <n v="101"/>
    <n v="13"/>
    <x v="2"/>
  </r>
  <r>
    <x v="88"/>
    <x v="3"/>
    <n v="64"/>
    <n v="101"/>
    <n v="13"/>
    <x v="2"/>
  </r>
  <r>
    <x v="89"/>
    <x v="3"/>
    <n v="57"/>
    <n v="89"/>
    <n v="14"/>
    <x v="2"/>
  </r>
  <r>
    <x v="90"/>
    <x v="3"/>
    <n v="73"/>
    <n v="111"/>
    <n v="14"/>
    <x v="3"/>
  </r>
  <r>
    <x v="91"/>
    <x v="3"/>
    <n v="65"/>
    <n v="107"/>
    <n v="14"/>
    <x v="3"/>
  </r>
  <r>
    <x v="92"/>
    <x v="3"/>
    <n v="53"/>
    <n v="78"/>
    <n v="14"/>
    <x v="3"/>
  </r>
  <r>
    <x v="93"/>
    <x v="3"/>
    <n v="80"/>
    <n v="123"/>
    <n v="14"/>
    <x v="3"/>
  </r>
  <r>
    <x v="94"/>
    <x v="3"/>
    <n v="66"/>
    <n v="114"/>
    <n v="14"/>
    <x v="3"/>
  </r>
  <r>
    <x v="95"/>
    <x v="3"/>
    <n v="72"/>
    <n v="98"/>
    <n v="14"/>
    <x v="3"/>
  </r>
  <r>
    <x v="96"/>
    <x v="3"/>
    <n v="73"/>
    <n v="118"/>
    <n v="15"/>
    <x v="3"/>
  </r>
  <r>
    <x v="97"/>
    <x v="3"/>
    <n v="80"/>
    <n v="103"/>
    <n v="15"/>
    <x v="3"/>
  </r>
  <r>
    <x v="98"/>
    <x v="3"/>
    <n v="80"/>
    <n v="127"/>
    <n v="15"/>
    <x v="3"/>
  </r>
  <r>
    <x v="99"/>
    <x v="3"/>
    <n v="76"/>
    <n v="116"/>
    <n v="15"/>
    <x v="3"/>
  </r>
  <r>
    <x v="100"/>
    <x v="3"/>
    <n v="71"/>
    <n v="105"/>
    <n v="15"/>
    <x v="3"/>
  </r>
  <r>
    <x v="101"/>
    <x v="3"/>
    <n v="87"/>
    <n v="116"/>
    <n v="15"/>
    <x v="3"/>
  </r>
  <r>
    <x v="102"/>
    <x v="3"/>
    <n v="70"/>
    <n v="107"/>
    <n v="15"/>
    <x v="3"/>
  </r>
  <r>
    <x v="103"/>
    <x v="3"/>
    <n v="77"/>
    <n v="99"/>
    <n v="16"/>
    <x v="3"/>
  </r>
  <r>
    <x v="104"/>
    <x v="3"/>
    <n v="81"/>
    <n v="130"/>
    <n v="16"/>
    <x v="3"/>
  </r>
  <r>
    <x v="105"/>
    <x v="3"/>
    <n v="65"/>
    <n v="98"/>
    <n v="16"/>
    <x v="3"/>
  </r>
  <r>
    <x v="106"/>
    <x v="3"/>
    <n v="74"/>
    <n v="99"/>
    <n v="16"/>
    <x v="3"/>
  </r>
  <r>
    <x v="107"/>
    <x v="3"/>
    <n v="74"/>
    <n v="121"/>
    <n v="16"/>
    <x v="3"/>
  </r>
  <r>
    <x v="108"/>
    <x v="3"/>
    <n v="72"/>
    <n v="98"/>
    <n v="16"/>
    <x v="3"/>
  </r>
  <r>
    <x v="109"/>
    <x v="3"/>
    <n v="70"/>
    <n v="95"/>
    <n v="16"/>
    <x v="3"/>
  </r>
  <r>
    <x v="110"/>
    <x v="3"/>
    <n v="78"/>
    <n v="125"/>
    <n v="17"/>
    <x v="3"/>
  </r>
  <r>
    <x v="111"/>
    <x v="3"/>
    <n v="67"/>
    <n v="87"/>
    <n v="17"/>
    <x v="3"/>
  </r>
  <r>
    <x v="112"/>
    <x v="3"/>
    <n v="81"/>
    <n v="113"/>
    <n v="17"/>
    <x v="3"/>
  </r>
  <r>
    <x v="113"/>
    <x v="3"/>
    <n v="67"/>
    <n v="96"/>
    <n v="17"/>
    <x v="3"/>
  </r>
  <r>
    <x v="114"/>
    <x v="3"/>
    <n v="58"/>
    <n v="87"/>
    <n v="17"/>
    <x v="3"/>
  </r>
  <r>
    <x v="115"/>
    <x v="3"/>
    <n v="73"/>
    <n v="101"/>
    <n v="17"/>
    <x v="3"/>
  </r>
  <r>
    <x v="116"/>
    <x v="3"/>
    <n v="72"/>
    <n v="102"/>
    <n v="17"/>
    <x v="3"/>
  </r>
  <r>
    <x v="117"/>
    <x v="3"/>
    <n v="93"/>
    <n v="134"/>
    <n v="18"/>
    <x v="3"/>
  </r>
  <r>
    <x v="118"/>
    <x v="3"/>
    <n v="64"/>
    <n v="88"/>
    <n v="18"/>
    <x v="3"/>
  </r>
  <r>
    <x v="119"/>
    <x v="3"/>
    <n v="70"/>
    <n v="106"/>
    <n v="18"/>
    <x v="3"/>
  </r>
  <r>
    <x v="0"/>
    <x v="4"/>
    <n v="91"/>
    <n v="116"/>
    <n v="1"/>
    <x v="0"/>
  </r>
  <r>
    <x v="1"/>
    <x v="4"/>
    <n v="84"/>
    <n v="121"/>
    <n v="1"/>
    <x v="0"/>
  </r>
  <r>
    <x v="2"/>
    <x v="4"/>
    <n v="85"/>
    <n v="105"/>
    <n v="1"/>
    <x v="0"/>
  </r>
  <r>
    <x v="3"/>
    <x v="4"/>
    <n v="80"/>
    <n v="120"/>
    <n v="1"/>
    <x v="0"/>
  </r>
  <r>
    <x v="4"/>
    <x v="4"/>
    <n v="77"/>
    <n v="115"/>
    <n v="1"/>
    <x v="0"/>
  </r>
  <r>
    <x v="5"/>
    <x v="4"/>
    <n v="69"/>
    <n v="109"/>
    <n v="2"/>
    <x v="0"/>
  </r>
  <r>
    <x v="6"/>
    <x v="4"/>
    <n v="92"/>
    <n v="141"/>
    <n v="2"/>
    <x v="0"/>
  </r>
  <r>
    <x v="7"/>
    <x v="4"/>
    <n v="115"/>
    <n v="159"/>
    <n v="2"/>
    <x v="0"/>
  </r>
  <r>
    <x v="8"/>
    <x v="4"/>
    <n v="95"/>
    <n v="125"/>
    <n v="2"/>
    <x v="0"/>
  </r>
  <r>
    <x v="9"/>
    <x v="4"/>
    <n v="93"/>
    <n v="132"/>
    <n v="2"/>
    <x v="0"/>
  </r>
  <r>
    <x v="10"/>
    <x v="4"/>
    <n v="80"/>
    <n v="119"/>
    <n v="2"/>
    <x v="0"/>
  </r>
  <r>
    <x v="11"/>
    <x v="4"/>
    <n v="99"/>
    <n v="141"/>
    <n v="2"/>
    <x v="0"/>
  </r>
  <r>
    <x v="12"/>
    <x v="4"/>
    <n v="82"/>
    <n v="124"/>
    <n v="3"/>
    <x v="0"/>
  </r>
  <r>
    <x v="13"/>
    <x v="4"/>
    <n v="98"/>
    <n v="122"/>
    <n v="3"/>
    <x v="0"/>
  </r>
  <r>
    <x v="14"/>
    <x v="4"/>
    <n v="119"/>
    <n v="139"/>
    <n v="3"/>
    <x v="0"/>
  </r>
  <r>
    <x v="15"/>
    <x v="4"/>
    <n v="98"/>
    <n v="134"/>
    <n v="3"/>
    <x v="0"/>
  </r>
  <r>
    <x v="16"/>
    <x v="4"/>
    <n v="101"/>
    <n v="145"/>
    <n v="3"/>
    <x v="0"/>
  </r>
  <r>
    <x v="17"/>
    <x v="4"/>
    <n v="98"/>
    <n v="136"/>
    <n v="3"/>
    <x v="0"/>
  </r>
  <r>
    <x v="18"/>
    <x v="4"/>
    <n v="98"/>
    <n v="147"/>
    <n v="3"/>
    <x v="0"/>
  </r>
  <r>
    <x v="19"/>
    <x v="4"/>
    <n v="90"/>
    <n v="118"/>
    <n v="4"/>
    <x v="0"/>
  </r>
  <r>
    <x v="20"/>
    <x v="4"/>
    <n v="77"/>
    <n v="107"/>
    <n v="4"/>
    <x v="0"/>
  </r>
  <r>
    <x v="21"/>
    <x v="4"/>
    <n v="106"/>
    <n v="139"/>
    <n v="4"/>
    <x v="0"/>
  </r>
  <r>
    <x v="22"/>
    <x v="4"/>
    <n v="110"/>
    <n v="131"/>
    <n v="4"/>
    <x v="0"/>
  </r>
  <r>
    <x v="23"/>
    <x v="4"/>
    <n v="101"/>
    <n v="139"/>
    <n v="4"/>
    <x v="0"/>
  </r>
  <r>
    <x v="24"/>
    <x v="4"/>
    <n v="105"/>
    <n v="154"/>
    <n v="4"/>
    <x v="0"/>
  </r>
  <r>
    <x v="25"/>
    <x v="4"/>
    <n v="94"/>
    <n v="128"/>
    <n v="4"/>
    <x v="0"/>
  </r>
  <r>
    <x v="26"/>
    <x v="4"/>
    <n v="97"/>
    <n v="131"/>
    <n v="5"/>
    <x v="0"/>
  </r>
  <r>
    <x v="27"/>
    <x v="4"/>
    <n v="99"/>
    <n v="143"/>
    <n v="5"/>
    <x v="0"/>
  </r>
  <r>
    <x v="28"/>
    <x v="4"/>
    <n v="96"/>
    <n v="118"/>
    <n v="5"/>
    <x v="0"/>
  </r>
  <r>
    <x v="29"/>
    <x v="4"/>
    <n v="85"/>
    <n v="107"/>
    <n v="5"/>
    <x v="0"/>
  </r>
  <r>
    <x v="30"/>
    <x v="4"/>
    <n v="82"/>
    <n v="103"/>
    <n v="5"/>
    <x v="0"/>
  </r>
  <r>
    <x v="31"/>
    <x v="4"/>
    <n v="92"/>
    <n v="137"/>
    <n v="5"/>
    <x v="1"/>
  </r>
  <r>
    <x v="32"/>
    <x v="4"/>
    <n v="109"/>
    <n v="153"/>
    <n v="5"/>
    <x v="1"/>
  </r>
  <r>
    <x v="33"/>
    <x v="4"/>
    <n v="90"/>
    <n v="114"/>
    <n v="6"/>
    <x v="1"/>
  </r>
  <r>
    <x v="34"/>
    <x v="4"/>
    <n v="85"/>
    <n v="115"/>
    <n v="6"/>
    <x v="1"/>
  </r>
  <r>
    <x v="35"/>
    <x v="4"/>
    <n v="101"/>
    <n v="138"/>
    <n v="6"/>
    <x v="1"/>
  </r>
  <r>
    <x v="36"/>
    <x v="4"/>
    <n v="99"/>
    <n v="139"/>
    <n v="6"/>
    <x v="1"/>
  </r>
  <r>
    <x v="37"/>
    <x v="4"/>
    <n v="83"/>
    <n v="117"/>
    <n v="6"/>
    <x v="1"/>
  </r>
  <r>
    <x v="38"/>
    <x v="4"/>
    <n v="97"/>
    <n v="120"/>
    <n v="6"/>
    <x v="1"/>
  </r>
  <r>
    <x v="39"/>
    <x v="4"/>
    <n v="111"/>
    <n v="132"/>
    <n v="6"/>
    <x v="1"/>
  </r>
  <r>
    <x v="40"/>
    <x v="4"/>
    <n v="82"/>
    <n v="122"/>
    <n v="7"/>
    <x v="1"/>
  </r>
  <r>
    <x v="41"/>
    <x v="4"/>
    <n v="87"/>
    <n v="121"/>
    <n v="7"/>
    <x v="1"/>
  </r>
  <r>
    <x v="42"/>
    <x v="4"/>
    <n v="94"/>
    <n v="123"/>
    <n v="7"/>
    <x v="1"/>
  </r>
  <r>
    <x v="43"/>
    <x v="4"/>
    <n v="96"/>
    <n v="132"/>
    <n v="7"/>
    <x v="1"/>
  </r>
  <r>
    <x v="44"/>
    <x v="4"/>
    <n v="94"/>
    <n v="125"/>
    <n v="7"/>
    <x v="1"/>
  </r>
  <r>
    <x v="45"/>
    <x v="4"/>
    <n v="83"/>
    <n v="109"/>
    <n v="7"/>
    <x v="1"/>
  </r>
  <r>
    <x v="46"/>
    <x v="4"/>
    <n v="87"/>
    <n v="135"/>
    <n v="7"/>
    <x v="1"/>
  </r>
  <r>
    <x v="47"/>
    <x v="4"/>
    <n v="92"/>
    <n v="112"/>
    <n v="8"/>
    <x v="1"/>
  </r>
  <r>
    <x v="48"/>
    <x v="4"/>
    <n v="89"/>
    <n v="123"/>
    <n v="8"/>
    <x v="1"/>
  </r>
  <r>
    <x v="49"/>
    <x v="4"/>
    <n v="115"/>
    <n v="156"/>
    <n v="8"/>
    <x v="1"/>
  </r>
  <r>
    <x v="50"/>
    <x v="4"/>
    <n v="93"/>
    <n v="138"/>
    <n v="8"/>
    <x v="1"/>
  </r>
  <r>
    <x v="51"/>
    <x v="4"/>
    <n v="84"/>
    <n v="129"/>
    <n v="8"/>
    <x v="1"/>
  </r>
  <r>
    <x v="52"/>
    <x v="4"/>
    <n v="89"/>
    <n v="132"/>
    <n v="8"/>
    <x v="1"/>
  </r>
  <r>
    <x v="53"/>
    <x v="4"/>
    <n v="89"/>
    <n v="113"/>
    <n v="8"/>
    <x v="1"/>
  </r>
  <r>
    <x v="54"/>
    <x v="4"/>
    <n v="87"/>
    <n v="110"/>
    <n v="9"/>
    <x v="1"/>
  </r>
  <r>
    <x v="55"/>
    <x v="4"/>
    <n v="91"/>
    <n v="128"/>
    <n v="9"/>
    <x v="1"/>
  </r>
  <r>
    <x v="56"/>
    <x v="4"/>
    <n v="101"/>
    <n v="143"/>
    <n v="9"/>
    <x v="1"/>
  </r>
  <r>
    <x v="57"/>
    <x v="4"/>
    <n v="95"/>
    <n v="117"/>
    <n v="9"/>
    <x v="1"/>
  </r>
  <r>
    <x v="58"/>
    <x v="4"/>
    <n v="106"/>
    <n v="146"/>
    <n v="9"/>
    <x v="1"/>
  </r>
  <r>
    <x v="59"/>
    <x v="4"/>
    <n v="78"/>
    <n v="112"/>
    <n v="9"/>
    <x v="2"/>
  </r>
  <r>
    <x v="60"/>
    <x v="4"/>
    <n v="85"/>
    <n v="115"/>
    <n v="9"/>
    <x v="2"/>
  </r>
  <r>
    <x v="61"/>
    <x v="4"/>
    <n v="85"/>
    <n v="133"/>
    <n v="10"/>
    <x v="2"/>
  </r>
  <r>
    <x v="62"/>
    <x v="4"/>
    <n v="73"/>
    <n v="95"/>
    <n v="10"/>
    <x v="2"/>
  </r>
  <r>
    <x v="63"/>
    <x v="4"/>
    <n v="96"/>
    <n v="125"/>
    <n v="10"/>
    <x v="2"/>
  </r>
  <r>
    <x v="64"/>
    <x v="4"/>
    <n v="91"/>
    <n v="127"/>
    <n v="10"/>
    <x v="2"/>
  </r>
  <r>
    <x v="65"/>
    <x v="4"/>
    <n v="103"/>
    <n v="128"/>
    <n v="10"/>
    <x v="2"/>
  </r>
  <r>
    <x v="66"/>
    <x v="4"/>
    <n v="95"/>
    <n v="128"/>
    <n v="10"/>
    <x v="2"/>
  </r>
  <r>
    <x v="67"/>
    <x v="4"/>
    <n v="86"/>
    <n v="109"/>
    <n v="10"/>
    <x v="2"/>
  </r>
  <r>
    <x v="68"/>
    <x v="4"/>
    <n v="83"/>
    <n v="129"/>
    <n v="11"/>
    <x v="2"/>
  </r>
  <r>
    <x v="69"/>
    <x v="4"/>
    <n v="88"/>
    <n v="120"/>
    <n v="11"/>
    <x v="2"/>
  </r>
  <r>
    <x v="70"/>
    <x v="4"/>
    <n v="93"/>
    <n v="117"/>
    <n v="11"/>
    <x v="2"/>
  </r>
  <r>
    <x v="71"/>
    <x v="4"/>
    <n v="75"/>
    <n v="102"/>
    <n v="11"/>
    <x v="2"/>
  </r>
  <r>
    <x v="72"/>
    <x v="4"/>
    <n v="106"/>
    <n v="147"/>
    <n v="11"/>
    <x v="2"/>
  </r>
  <r>
    <x v="73"/>
    <x v="4"/>
    <n v="85"/>
    <n v="126"/>
    <n v="11"/>
    <x v="2"/>
  </r>
  <r>
    <x v="74"/>
    <x v="4"/>
    <n v="98"/>
    <n v="119"/>
    <n v="11"/>
    <x v="2"/>
  </r>
  <r>
    <x v="75"/>
    <x v="4"/>
    <n v="91"/>
    <n v="132"/>
    <n v="12"/>
    <x v="2"/>
  </r>
  <r>
    <x v="76"/>
    <x v="4"/>
    <n v="95"/>
    <n v="127"/>
    <n v="12"/>
    <x v="2"/>
  </r>
  <r>
    <x v="77"/>
    <x v="4"/>
    <n v="97"/>
    <n v="139"/>
    <n v="12"/>
    <x v="2"/>
  </r>
  <r>
    <x v="78"/>
    <x v="4"/>
    <n v="94"/>
    <n v="138"/>
    <n v="12"/>
    <x v="2"/>
  </r>
  <r>
    <x v="79"/>
    <x v="4"/>
    <n v="103"/>
    <n v="138"/>
    <n v="12"/>
    <x v="2"/>
  </r>
  <r>
    <x v="80"/>
    <x v="4"/>
    <n v="98"/>
    <n v="133"/>
    <n v="12"/>
    <x v="2"/>
  </r>
  <r>
    <x v="81"/>
    <x v="4"/>
    <n v="90"/>
    <n v="128"/>
    <n v="12"/>
    <x v="2"/>
  </r>
  <r>
    <x v="82"/>
    <x v="4"/>
    <n v="110"/>
    <n v="154"/>
    <n v="13"/>
    <x v="2"/>
  </r>
  <r>
    <x v="83"/>
    <x v="4"/>
    <n v="98"/>
    <n v="139"/>
    <n v="13"/>
    <x v="2"/>
  </r>
  <r>
    <x v="84"/>
    <x v="4"/>
    <n v="77"/>
    <n v="97"/>
    <n v="13"/>
    <x v="2"/>
  </r>
  <r>
    <x v="85"/>
    <x v="4"/>
    <n v="96"/>
    <n v="135"/>
    <n v="13"/>
    <x v="2"/>
  </r>
  <r>
    <x v="86"/>
    <x v="4"/>
    <n v="99"/>
    <n v="119"/>
    <n v="13"/>
    <x v="2"/>
  </r>
  <r>
    <x v="87"/>
    <x v="4"/>
    <n v="85"/>
    <n v="113"/>
    <n v="13"/>
    <x v="2"/>
  </r>
  <r>
    <x v="88"/>
    <x v="4"/>
    <n v="94"/>
    <n v="133"/>
    <n v="13"/>
    <x v="2"/>
  </r>
  <r>
    <x v="89"/>
    <x v="4"/>
    <n v="106"/>
    <n v="147"/>
    <n v="14"/>
    <x v="2"/>
  </r>
  <r>
    <x v="90"/>
    <x v="4"/>
    <n v="105"/>
    <n v="139"/>
    <n v="14"/>
    <x v="3"/>
  </r>
  <r>
    <x v="91"/>
    <x v="4"/>
    <n v="90"/>
    <n v="122"/>
    <n v="14"/>
    <x v="3"/>
  </r>
  <r>
    <x v="92"/>
    <x v="4"/>
    <n v="90"/>
    <n v="139"/>
    <n v="14"/>
    <x v="3"/>
  </r>
  <r>
    <x v="93"/>
    <x v="4"/>
    <n v="99"/>
    <n v="125"/>
    <n v="14"/>
    <x v="3"/>
  </r>
  <r>
    <x v="94"/>
    <x v="4"/>
    <n v="87"/>
    <n v="127"/>
    <n v="14"/>
    <x v="3"/>
  </r>
  <r>
    <x v="95"/>
    <x v="4"/>
    <n v="95"/>
    <n v="116"/>
    <n v="14"/>
    <x v="3"/>
  </r>
  <r>
    <x v="96"/>
    <x v="4"/>
    <n v="110"/>
    <n v="143"/>
    <n v="15"/>
    <x v="3"/>
  </r>
  <r>
    <x v="97"/>
    <x v="4"/>
    <n v="107"/>
    <n v="146"/>
    <n v="15"/>
    <x v="3"/>
  </r>
  <r>
    <x v="98"/>
    <x v="4"/>
    <n v="93"/>
    <n v="137"/>
    <n v="15"/>
    <x v="3"/>
  </r>
  <r>
    <x v="99"/>
    <x v="4"/>
    <n v="98"/>
    <n v="138"/>
    <n v="15"/>
    <x v="3"/>
  </r>
  <r>
    <x v="100"/>
    <x v="4"/>
    <n v="120"/>
    <n v="152"/>
    <n v="15"/>
    <x v="3"/>
  </r>
  <r>
    <x v="101"/>
    <x v="4"/>
    <n v="86"/>
    <n v="134"/>
    <n v="15"/>
    <x v="3"/>
  </r>
  <r>
    <x v="102"/>
    <x v="4"/>
    <n v="89"/>
    <n v="113"/>
    <n v="15"/>
    <x v="3"/>
  </r>
  <r>
    <x v="103"/>
    <x v="4"/>
    <n v="102"/>
    <n v="123"/>
    <n v="16"/>
    <x v="3"/>
  </r>
  <r>
    <x v="104"/>
    <x v="4"/>
    <n v="93"/>
    <n v="136"/>
    <n v="16"/>
    <x v="3"/>
  </r>
  <r>
    <x v="105"/>
    <x v="4"/>
    <n v="87"/>
    <n v="115"/>
    <n v="16"/>
    <x v="3"/>
  </r>
  <r>
    <x v="106"/>
    <x v="4"/>
    <n v="81"/>
    <n v="130"/>
    <n v="16"/>
    <x v="3"/>
  </r>
  <r>
    <x v="107"/>
    <x v="4"/>
    <n v="86"/>
    <n v="121"/>
    <n v="16"/>
    <x v="3"/>
  </r>
  <r>
    <x v="108"/>
    <x v="4"/>
    <n v="74"/>
    <n v="100"/>
    <n v="16"/>
    <x v="3"/>
  </r>
  <r>
    <x v="109"/>
    <x v="4"/>
    <n v="85"/>
    <n v="132"/>
    <n v="16"/>
    <x v="3"/>
  </r>
  <r>
    <x v="110"/>
    <x v="4"/>
    <n v="87"/>
    <n v="134"/>
    <n v="17"/>
    <x v="3"/>
  </r>
  <r>
    <x v="111"/>
    <x v="4"/>
    <n v="104"/>
    <n v="128"/>
    <n v="17"/>
    <x v="3"/>
  </r>
  <r>
    <x v="112"/>
    <x v="4"/>
    <n v="107"/>
    <n v="155"/>
    <n v="17"/>
    <x v="3"/>
  </r>
  <r>
    <x v="113"/>
    <x v="4"/>
    <n v="89"/>
    <n v="130"/>
    <n v="17"/>
    <x v="3"/>
  </r>
  <r>
    <x v="114"/>
    <x v="4"/>
    <n v="103"/>
    <n v="144"/>
    <n v="17"/>
    <x v="3"/>
  </r>
  <r>
    <x v="115"/>
    <x v="4"/>
    <n v="119"/>
    <n v="168"/>
    <n v="17"/>
    <x v="3"/>
  </r>
  <r>
    <x v="116"/>
    <x v="4"/>
    <n v="92"/>
    <n v="126"/>
    <n v="17"/>
    <x v="3"/>
  </r>
  <r>
    <x v="117"/>
    <x v="4"/>
    <n v="95"/>
    <n v="138"/>
    <n v="18"/>
    <x v="3"/>
  </r>
  <r>
    <x v="118"/>
    <x v="4"/>
    <n v="94"/>
    <n v="134"/>
    <n v="18"/>
    <x v="3"/>
  </r>
  <r>
    <x v="119"/>
    <x v="4"/>
    <n v="104"/>
    <n v="144"/>
    <n v="1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314CB-EF83-4548-817E-EB94EE4A07E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8"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6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Inventory Leve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14FA7-402D-4230-A89E-58B1CB3B336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8"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6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93F20-2242-46C9-A8D3-190B930294E7}" name="Table1" displayName="Table1" ref="A1:N7" totalsRowCount="1">
  <autoFilter ref="A1:N6" xr:uid="{BD093F20-2242-46C9-A8D3-190B930294E7}"/>
  <tableColumns count="14">
    <tableColumn id="1" xr3:uid="{A4FB0167-137C-4121-B27E-5C6B3072CCA8}" name="SKU"/>
    <tableColumn id="2" xr3:uid="{36E8F3F6-6C9C-4D96-BA57-046B098E8E42}" name="Annual Demand"/>
    <tableColumn id="3" xr3:uid="{6AE3B576-A0AA-4F5B-A904-D8B6E838677E}" name="Ordering Cost"/>
    <tableColumn id="4" xr3:uid="{D2F6AA9F-F404-49DA-A016-6BB36C8DA523}" name="Holding Cost"/>
    <tableColumn id="5" xr3:uid="{9E589067-C27F-422C-B876-AB17CCDCDE2F}" name="Lead Time (Days)"/>
    <tableColumn id="6" xr3:uid="{A7904CFB-86A3-4604-98C1-D61F0178C5FE}" name="Std Dev Demand"/>
    <tableColumn id="7" xr3:uid="{1920D6EC-859E-4998-B72B-E7983C9DE29E}" name="EOQ">
      <calculatedColumnFormula>SQRT((B2*C2*2)/D2)</calculatedColumnFormula>
    </tableColumn>
    <tableColumn id="8" xr3:uid="{C1D7E8D4-757E-47CA-8564-BE5E95151733}" name="Ordering Cost Calc">
      <calculatedColumnFormula>(B2/G2)*C2</calculatedColumnFormula>
    </tableColumn>
    <tableColumn id="9" xr3:uid="{27DEB0DD-D5CB-472F-90C0-99CD8ED7C8E4}" name="Holding Cost Calc">
      <calculatedColumnFormula>(G2/2)*D2</calculatedColumnFormula>
    </tableColumn>
    <tableColumn id="10" xr3:uid="{ED9B7523-430E-4A0C-857D-383096ED811A}" name="Total Cost">
      <calculatedColumnFormula>H2+I2</calculatedColumnFormula>
    </tableColumn>
    <tableColumn id="11" xr3:uid="{1BFA2793-FFAD-4ECA-B5D6-8A81D191FFC5}" name="Safety Stock">
      <calculatedColumnFormula>1.65*F2*SQRT(E2)</calculatedColumnFormula>
    </tableColumn>
    <tableColumn id="12" xr3:uid="{EB8C088D-8182-4C23-92BF-DBB5D1D53529}" name="Daily Demand">
      <calculatedColumnFormula>B2/365</calculatedColumnFormula>
    </tableColumn>
    <tableColumn id="13" xr3:uid="{D3A3D945-601B-4082-A84C-6D4431D63648}" name="ROP" dataDxfId="1">
      <calculatedColumnFormula>(L2*E2)+Table1[[#This Row],[Safety Stock]]</calculatedColumnFormula>
    </tableColumn>
    <tableColumn id="14" xr3:uid="{145D5B3D-CD61-4FAE-977B-1DC851DB872D}" name="Recommended Order Qty" dataDxfId="0">
      <calculatedColumnFormula>IF(G2&lt;(L2*E2),G2,ROUNDUP(G2,-1))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A35B8-0E1C-436B-9168-5DE084428374}" name="Table2" displayName="Table2" ref="A1:B7" totalsRowShown="0">
  <autoFilter ref="A1:B7" xr:uid="{AA2A35B8-0E1C-436B-9168-5DE084428374}"/>
  <tableColumns count="2">
    <tableColumn id="1" xr3:uid="{F0F3E5C4-D7F6-44B9-93D8-E8D4E06DFF44}" name="Column1"/>
    <tableColumn id="2" xr3:uid="{D9740FA6-908F-46DF-B52D-108038838AA5}" name="Column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C75E-AC73-4722-98FA-9FC897220BEF}">
  <dimension ref="A1:A8"/>
  <sheetViews>
    <sheetView tabSelected="1" workbookViewId="0">
      <selection activeCell="A4" sqref="A4"/>
    </sheetView>
  </sheetViews>
  <sheetFormatPr defaultRowHeight="15" x14ac:dyDescent="0.25"/>
  <cols>
    <col min="1" max="1" width="120" customWidth="1"/>
  </cols>
  <sheetData>
    <row r="1" spans="1:1" ht="23.25" x14ac:dyDescent="0.35">
      <c r="A1" s="9" t="s">
        <v>72</v>
      </c>
    </row>
    <row r="2" spans="1:1" x14ac:dyDescent="0.25">
      <c r="A2" s="4"/>
    </row>
    <row r="3" spans="1:1" x14ac:dyDescent="0.25">
      <c r="A3" s="4" t="s">
        <v>38</v>
      </c>
    </row>
    <row r="4" spans="1:1" x14ac:dyDescent="0.25">
      <c r="A4" s="4" t="s">
        <v>74</v>
      </c>
    </row>
    <row r="5" spans="1:1" x14ac:dyDescent="0.25">
      <c r="A5" s="4"/>
    </row>
    <row r="6" spans="1:1" x14ac:dyDescent="0.25">
      <c r="A6" s="4" t="s">
        <v>37</v>
      </c>
    </row>
    <row r="7" spans="1:1" ht="60" x14ac:dyDescent="0.25">
      <c r="A7" s="4" t="s">
        <v>73</v>
      </c>
    </row>
    <row r="8" spans="1:1" x14ac:dyDescent="0.25">
      <c r="A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8741-81CD-42CC-9A09-7493D6571361}">
  <dimension ref="A1:A42"/>
  <sheetViews>
    <sheetView zoomScaleNormal="100" workbookViewId="0">
      <selection activeCell="A45" sqref="A45"/>
    </sheetView>
  </sheetViews>
  <sheetFormatPr defaultRowHeight="15" x14ac:dyDescent="0.25"/>
  <cols>
    <col min="1" max="1" width="188.28515625" bestFit="1" customWidth="1"/>
  </cols>
  <sheetData>
    <row r="1" spans="1:1" ht="21" x14ac:dyDescent="0.35">
      <c r="A1" s="7" t="s">
        <v>39</v>
      </c>
    </row>
    <row r="3" spans="1:1" x14ac:dyDescent="0.25">
      <c r="A3" s="5" t="s">
        <v>40</v>
      </c>
    </row>
    <row r="4" spans="1:1" x14ac:dyDescent="0.25">
      <c r="A4" t="s">
        <v>41</v>
      </c>
    </row>
    <row r="5" spans="1:1" x14ac:dyDescent="0.25">
      <c r="A5" s="4"/>
    </row>
    <row r="6" spans="1:1" x14ac:dyDescent="0.25">
      <c r="A6" s="6" t="s">
        <v>42</v>
      </c>
    </row>
    <row r="7" spans="1:1" x14ac:dyDescent="0.25">
      <c r="A7" t="s">
        <v>43</v>
      </c>
    </row>
    <row r="8" spans="1:1" x14ac:dyDescent="0.25">
      <c r="A8" s="4"/>
    </row>
    <row r="9" spans="1:1" x14ac:dyDescent="0.25">
      <c r="A9" s="6" t="s">
        <v>44</v>
      </c>
    </row>
    <row r="10" spans="1:1" x14ac:dyDescent="0.25">
      <c r="A10" t="s">
        <v>45</v>
      </c>
    </row>
    <row r="12" spans="1:1" x14ac:dyDescent="0.25">
      <c r="A12" s="6" t="s">
        <v>46</v>
      </c>
    </row>
    <row r="13" spans="1:1" x14ac:dyDescent="0.25">
      <c r="A13" t="s">
        <v>47</v>
      </c>
    </row>
    <row r="15" spans="1:1" x14ac:dyDescent="0.25">
      <c r="A15" s="6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2" spans="1:1" ht="21" x14ac:dyDescent="0.35">
      <c r="A22" s="8" t="s">
        <v>53</v>
      </c>
    </row>
    <row r="24" spans="1:1" x14ac:dyDescent="0.25">
      <c r="A24" s="6" t="s">
        <v>54</v>
      </c>
    </row>
    <row r="25" spans="1:1" x14ac:dyDescent="0.25">
      <c r="A25" t="s">
        <v>55</v>
      </c>
    </row>
    <row r="27" spans="1:1" x14ac:dyDescent="0.25">
      <c r="A27" s="6" t="s">
        <v>56</v>
      </c>
    </row>
    <row r="28" spans="1:1" x14ac:dyDescent="0.25">
      <c r="A28" t="s">
        <v>57</v>
      </c>
    </row>
    <row r="30" spans="1:1" x14ac:dyDescent="0.25">
      <c r="A30" s="6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5" spans="1:1" x14ac:dyDescent="0.25">
      <c r="A35" s="6" t="s">
        <v>62</v>
      </c>
    </row>
    <row r="36" spans="1:1" x14ac:dyDescent="0.25">
      <c r="A36" t="s">
        <v>63</v>
      </c>
    </row>
    <row r="38" spans="1:1" x14ac:dyDescent="0.25">
      <c r="A38" s="6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workbookViewId="0">
      <selection sqref="A1:F1"/>
    </sheetView>
  </sheetViews>
  <sheetFormatPr defaultRowHeight="15" x14ac:dyDescent="0.25"/>
  <cols>
    <col min="1" max="1" width="10.42578125" bestFit="1" customWidth="1"/>
    <col min="2" max="2" width="5.42578125" bestFit="1" customWidth="1"/>
    <col min="3" max="3" width="9.85546875" bestFit="1" customWidth="1"/>
    <col min="4" max="4" width="14.85546875" bestFit="1" customWidth="1"/>
    <col min="5" max="5" width="6.140625" bestFit="1" customWidth="1"/>
    <col min="6" max="6" width="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 t="s">
        <v>6</v>
      </c>
      <c r="C2">
        <v>104</v>
      </c>
      <c r="D2">
        <v>142</v>
      </c>
      <c r="E2">
        <v>1</v>
      </c>
      <c r="F2">
        <v>1</v>
      </c>
    </row>
    <row r="3" spans="1:6" x14ac:dyDescent="0.25">
      <c r="A3" s="1">
        <v>45659</v>
      </c>
      <c r="B3" t="s">
        <v>6</v>
      </c>
      <c r="C3">
        <v>86</v>
      </c>
      <c r="D3">
        <v>126</v>
      </c>
      <c r="E3">
        <v>1</v>
      </c>
      <c r="F3">
        <v>1</v>
      </c>
    </row>
    <row r="4" spans="1:6" x14ac:dyDescent="0.25">
      <c r="A4" s="1">
        <v>45660</v>
      </c>
      <c r="B4" t="s">
        <v>6</v>
      </c>
      <c r="C4">
        <v>104</v>
      </c>
      <c r="D4">
        <v>145</v>
      </c>
      <c r="E4">
        <v>1</v>
      </c>
      <c r="F4">
        <v>1</v>
      </c>
    </row>
    <row r="5" spans="1:6" x14ac:dyDescent="0.25">
      <c r="A5" s="1">
        <v>45661</v>
      </c>
      <c r="B5" t="s">
        <v>6</v>
      </c>
      <c r="C5">
        <v>80</v>
      </c>
      <c r="D5">
        <v>129</v>
      </c>
      <c r="E5">
        <v>1</v>
      </c>
      <c r="F5">
        <v>1</v>
      </c>
    </row>
    <row r="6" spans="1:6" x14ac:dyDescent="0.25">
      <c r="A6" s="1">
        <v>45662</v>
      </c>
      <c r="B6" t="s">
        <v>6</v>
      </c>
      <c r="C6">
        <v>92</v>
      </c>
      <c r="D6">
        <v>132</v>
      </c>
      <c r="E6">
        <v>1</v>
      </c>
      <c r="F6">
        <v>1</v>
      </c>
    </row>
    <row r="7" spans="1:6" x14ac:dyDescent="0.25">
      <c r="A7" s="1">
        <v>45663</v>
      </c>
      <c r="B7" t="s">
        <v>6</v>
      </c>
      <c r="C7">
        <v>104</v>
      </c>
      <c r="D7">
        <v>152</v>
      </c>
      <c r="E7">
        <v>2</v>
      </c>
      <c r="F7">
        <v>1</v>
      </c>
    </row>
    <row r="8" spans="1:6" x14ac:dyDescent="0.25">
      <c r="A8" s="1">
        <v>45664</v>
      </c>
      <c r="B8" t="s">
        <v>6</v>
      </c>
      <c r="C8">
        <v>99</v>
      </c>
      <c r="D8">
        <v>145</v>
      </c>
      <c r="E8">
        <v>2</v>
      </c>
      <c r="F8">
        <v>1</v>
      </c>
    </row>
    <row r="9" spans="1:6" x14ac:dyDescent="0.25">
      <c r="A9" s="1">
        <v>45665</v>
      </c>
      <c r="B9" t="s">
        <v>6</v>
      </c>
      <c r="C9">
        <v>98</v>
      </c>
      <c r="D9">
        <v>145</v>
      </c>
      <c r="E9">
        <v>2</v>
      </c>
      <c r="F9">
        <v>1</v>
      </c>
    </row>
    <row r="10" spans="1:6" x14ac:dyDescent="0.25">
      <c r="A10" s="1">
        <v>45666</v>
      </c>
      <c r="B10" t="s">
        <v>6</v>
      </c>
      <c r="C10">
        <v>97</v>
      </c>
      <c r="D10">
        <v>131</v>
      </c>
      <c r="E10">
        <v>2</v>
      </c>
      <c r="F10">
        <v>1</v>
      </c>
    </row>
    <row r="11" spans="1:6" x14ac:dyDescent="0.25">
      <c r="A11" s="1">
        <v>45667</v>
      </c>
      <c r="B11" t="s">
        <v>6</v>
      </c>
      <c r="C11">
        <v>104</v>
      </c>
      <c r="D11">
        <v>143</v>
      </c>
      <c r="E11">
        <v>2</v>
      </c>
      <c r="F11">
        <v>1</v>
      </c>
    </row>
    <row r="12" spans="1:6" x14ac:dyDescent="0.25">
      <c r="A12" s="1">
        <v>45668</v>
      </c>
      <c r="B12" t="s">
        <v>6</v>
      </c>
      <c r="C12">
        <v>104</v>
      </c>
      <c r="D12">
        <v>142</v>
      </c>
      <c r="E12">
        <v>2</v>
      </c>
      <c r="F12">
        <v>1</v>
      </c>
    </row>
    <row r="13" spans="1:6" x14ac:dyDescent="0.25">
      <c r="A13" s="1">
        <v>45669</v>
      </c>
      <c r="B13" t="s">
        <v>6</v>
      </c>
      <c r="C13">
        <v>106</v>
      </c>
      <c r="D13">
        <v>143</v>
      </c>
      <c r="E13">
        <v>2</v>
      </c>
      <c r="F13">
        <v>1</v>
      </c>
    </row>
    <row r="14" spans="1:6" x14ac:dyDescent="0.25">
      <c r="A14" s="1">
        <v>45670</v>
      </c>
      <c r="B14" t="s">
        <v>6</v>
      </c>
      <c r="C14">
        <v>111</v>
      </c>
      <c r="D14">
        <v>151</v>
      </c>
      <c r="E14">
        <v>3</v>
      </c>
      <c r="F14">
        <v>1</v>
      </c>
    </row>
    <row r="15" spans="1:6" x14ac:dyDescent="0.25">
      <c r="A15" s="1">
        <v>45671</v>
      </c>
      <c r="B15" t="s">
        <v>6</v>
      </c>
      <c r="C15">
        <v>92</v>
      </c>
      <c r="D15">
        <v>139</v>
      </c>
      <c r="E15">
        <v>3</v>
      </c>
      <c r="F15">
        <v>1</v>
      </c>
    </row>
    <row r="16" spans="1:6" x14ac:dyDescent="0.25">
      <c r="A16" s="1">
        <v>45672</v>
      </c>
      <c r="B16" t="s">
        <v>6</v>
      </c>
      <c r="C16">
        <v>87</v>
      </c>
      <c r="D16">
        <v>121</v>
      </c>
      <c r="E16">
        <v>3</v>
      </c>
      <c r="F16">
        <v>1</v>
      </c>
    </row>
    <row r="17" spans="1:6" x14ac:dyDescent="0.25">
      <c r="A17" s="1">
        <v>45673</v>
      </c>
      <c r="B17" t="s">
        <v>6</v>
      </c>
      <c r="C17">
        <v>90</v>
      </c>
      <c r="D17">
        <v>127</v>
      </c>
      <c r="E17">
        <v>3</v>
      </c>
      <c r="F17">
        <v>1</v>
      </c>
    </row>
    <row r="18" spans="1:6" x14ac:dyDescent="0.25">
      <c r="A18" s="1">
        <v>45674</v>
      </c>
      <c r="B18" t="s">
        <v>6</v>
      </c>
      <c r="C18">
        <v>106</v>
      </c>
      <c r="D18">
        <v>131</v>
      </c>
      <c r="E18">
        <v>3</v>
      </c>
      <c r="F18">
        <v>1</v>
      </c>
    </row>
    <row r="19" spans="1:6" x14ac:dyDescent="0.25">
      <c r="A19" s="1">
        <v>45675</v>
      </c>
      <c r="B19" t="s">
        <v>6</v>
      </c>
      <c r="C19">
        <v>92</v>
      </c>
      <c r="D19">
        <v>140</v>
      </c>
      <c r="E19">
        <v>3</v>
      </c>
      <c r="F19">
        <v>1</v>
      </c>
    </row>
    <row r="20" spans="1:6" x14ac:dyDescent="0.25">
      <c r="A20" s="1">
        <v>45676</v>
      </c>
      <c r="B20" t="s">
        <v>6</v>
      </c>
      <c r="C20">
        <v>121</v>
      </c>
      <c r="D20">
        <v>154</v>
      </c>
      <c r="E20">
        <v>3</v>
      </c>
      <c r="F20">
        <v>1</v>
      </c>
    </row>
    <row r="21" spans="1:6" x14ac:dyDescent="0.25">
      <c r="A21" s="1">
        <v>45677</v>
      </c>
      <c r="B21" t="s">
        <v>6</v>
      </c>
      <c r="C21">
        <v>108</v>
      </c>
      <c r="D21">
        <v>141</v>
      </c>
      <c r="E21">
        <v>4</v>
      </c>
      <c r="F21">
        <v>1</v>
      </c>
    </row>
    <row r="22" spans="1:6" x14ac:dyDescent="0.25">
      <c r="A22" s="1">
        <v>45678</v>
      </c>
      <c r="B22" t="s">
        <v>6</v>
      </c>
      <c r="C22">
        <v>91</v>
      </c>
      <c r="D22">
        <v>118</v>
      </c>
      <c r="E22">
        <v>4</v>
      </c>
      <c r="F22">
        <v>1</v>
      </c>
    </row>
    <row r="23" spans="1:6" x14ac:dyDescent="0.25">
      <c r="A23" s="1">
        <v>45679</v>
      </c>
      <c r="B23" t="s">
        <v>6</v>
      </c>
      <c r="C23">
        <v>113</v>
      </c>
      <c r="D23">
        <v>147</v>
      </c>
      <c r="E23">
        <v>4</v>
      </c>
      <c r="F23">
        <v>1</v>
      </c>
    </row>
    <row r="24" spans="1:6" x14ac:dyDescent="0.25">
      <c r="A24" s="1">
        <v>45680</v>
      </c>
      <c r="B24" t="s">
        <v>6</v>
      </c>
      <c r="C24">
        <v>112</v>
      </c>
      <c r="D24">
        <v>159</v>
      </c>
      <c r="E24">
        <v>4</v>
      </c>
      <c r="F24">
        <v>1</v>
      </c>
    </row>
    <row r="25" spans="1:6" x14ac:dyDescent="0.25">
      <c r="A25" s="1">
        <v>45681</v>
      </c>
      <c r="B25" t="s">
        <v>6</v>
      </c>
      <c r="C25">
        <v>104</v>
      </c>
      <c r="D25">
        <v>152</v>
      </c>
      <c r="E25">
        <v>4</v>
      </c>
      <c r="F25">
        <v>1</v>
      </c>
    </row>
    <row r="26" spans="1:6" x14ac:dyDescent="0.25">
      <c r="A26" s="1">
        <v>45682</v>
      </c>
      <c r="B26" t="s">
        <v>6</v>
      </c>
      <c r="C26">
        <v>111</v>
      </c>
      <c r="D26">
        <v>137</v>
      </c>
      <c r="E26">
        <v>4</v>
      </c>
      <c r="F26">
        <v>1</v>
      </c>
    </row>
    <row r="27" spans="1:6" x14ac:dyDescent="0.25">
      <c r="A27" s="1">
        <v>45683</v>
      </c>
      <c r="B27" t="s">
        <v>6</v>
      </c>
      <c r="C27">
        <v>99</v>
      </c>
      <c r="D27">
        <v>126</v>
      </c>
      <c r="E27">
        <v>4</v>
      </c>
      <c r="F27">
        <v>1</v>
      </c>
    </row>
    <row r="28" spans="1:6" x14ac:dyDescent="0.25">
      <c r="A28" s="1">
        <v>45684</v>
      </c>
      <c r="B28" t="s">
        <v>6</v>
      </c>
      <c r="C28">
        <v>107</v>
      </c>
      <c r="D28">
        <v>127</v>
      </c>
      <c r="E28">
        <v>5</v>
      </c>
      <c r="F28">
        <v>1</v>
      </c>
    </row>
    <row r="29" spans="1:6" x14ac:dyDescent="0.25">
      <c r="A29" s="1">
        <v>45685</v>
      </c>
      <c r="B29" t="s">
        <v>6</v>
      </c>
      <c r="C29">
        <v>104</v>
      </c>
      <c r="D29">
        <v>149</v>
      </c>
      <c r="E29">
        <v>5</v>
      </c>
      <c r="F29">
        <v>1</v>
      </c>
    </row>
    <row r="30" spans="1:6" x14ac:dyDescent="0.25">
      <c r="A30" s="1">
        <v>45686</v>
      </c>
      <c r="B30" t="s">
        <v>6</v>
      </c>
      <c r="C30">
        <v>87</v>
      </c>
      <c r="D30">
        <v>114</v>
      </c>
      <c r="E30">
        <v>5</v>
      </c>
      <c r="F30">
        <v>1</v>
      </c>
    </row>
    <row r="31" spans="1:6" x14ac:dyDescent="0.25">
      <c r="A31" s="1">
        <v>45687</v>
      </c>
      <c r="B31" t="s">
        <v>6</v>
      </c>
      <c r="C31">
        <v>99</v>
      </c>
      <c r="D31">
        <v>141</v>
      </c>
      <c r="E31">
        <v>5</v>
      </c>
      <c r="F31">
        <v>1</v>
      </c>
    </row>
    <row r="32" spans="1:6" x14ac:dyDescent="0.25">
      <c r="A32" s="1">
        <v>45688</v>
      </c>
      <c r="B32" t="s">
        <v>6</v>
      </c>
      <c r="C32">
        <v>95</v>
      </c>
      <c r="D32">
        <v>117</v>
      </c>
      <c r="E32">
        <v>5</v>
      </c>
      <c r="F32">
        <v>1</v>
      </c>
    </row>
    <row r="33" spans="1:6" x14ac:dyDescent="0.25">
      <c r="A33" s="1">
        <v>45689</v>
      </c>
      <c r="B33" t="s">
        <v>6</v>
      </c>
      <c r="C33">
        <v>104</v>
      </c>
      <c r="D33">
        <v>126</v>
      </c>
      <c r="E33">
        <v>5</v>
      </c>
      <c r="F33">
        <v>2</v>
      </c>
    </row>
    <row r="34" spans="1:6" x14ac:dyDescent="0.25">
      <c r="A34" s="1">
        <v>45690</v>
      </c>
      <c r="B34" t="s">
        <v>6</v>
      </c>
      <c r="C34">
        <v>100</v>
      </c>
      <c r="D34">
        <v>133</v>
      </c>
      <c r="E34">
        <v>5</v>
      </c>
      <c r="F34">
        <v>2</v>
      </c>
    </row>
    <row r="35" spans="1:6" x14ac:dyDescent="0.25">
      <c r="A35" s="1">
        <v>45691</v>
      </c>
      <c r="B35" t="s">
        <v>6</v>
      </c>
      <c r="C35">
        <v>113</v>
      </c>
      <c r="D35">
        <v>155</v>
      </c>
      <c r="E35">
        <v>6</v>
      </c>
      <c r="F35">
        <v>2</v>
      </c>
    </row>
    <row r="36" spans="1:6" x14ac:dyDescent="0.25">
      <c r="A36" s="1">
        <v>45692</v>
      </c>
      <c r="B36" t="s">
        <v>6</v>
      </c>
      <c r="C36">
        <v>109</v>
      </c>
      <c r="D36">
        <v>137</v>
      </c>
      <c r="E36">
        <v>6</v>
      </c>
      <c r="F36">
        <v>2</v>
      </c>
    </row>
    <row r="37" spans="1:6" x14ac:dyDescent="0.25">
      <c r="A37" s="1">
        <v>45693</v>
      </c>
      <c r="B37" t="s">
        <v>6</v>
      </c>
      <c r="C37">
        <v>107</v>
      </c>
      <c r="D37">
        <v>154</v>
      </c>
      <c r="E37">
        <v>6</v>
      </c>
      <c r="F37">
        <v>2</v>
      </c>
    </row>
    <row r="38" spans="1:6" x14ac:dyDescent="0.25">
      <c r="A38" s="1">
        <v>45694</v>
      </c>
      <c r="B38" t="s">
        <v>6</v>
      </c>
      <c r="C38">
        <v>86</v>
      </c>
      <c r="D38">
        <v>112</v>
      </c>
      <c r="E38">
        <v>6</v>
      </c>
      <c r="F38">
        <v>2</v>
      </c>
    </row>
    <row r="39" spans="1:6" x14ac:dyDescent="0.25">
      <c r="A39" s="1">
        <v>45695</v>
      </c>
      <c r="B39" t="s">
        <v>6</v>
      </c>
      <c r="C39">
        <v>100</v>
      </c>
      <c r="D39">
        <v>123</v>
      </c>
      <c r="E39">
        <v>6</v>
      </c>
      <c r="F39">
        <v>2</v>
      </c>
    </row>
    <row r="40" spans="1:6" x14ac:dyDescent="0.25">
      <c r="A40" s="1">
        <v>45696</v>
      </c>
      <c r="B40" t="s">
        <v>6</v>
      </c>
      <c r="C40">
        <v>117</v>
      </c>
      <c r="D40">
        <v>149</v>
      </c>
      <c r="E40">
        <v>6</v>
      </c>
      <c r="F40">
        <v>2</v>
      </c>
    </row>
    <row r="41" spans="1:6" x14ac:dyDescent="0.25">
      <c r="A41" s="1">
        <v>45697</v>
      </c>
      <c r="B41" t="s">
        <v>6</v>
      </c>
      <c r="C41">
        <v>102</v>
      </c>
      <c r="D41">
        <v>134</v>
      </c>
      <c r="E41">
        <v>6</v>
      </c>
      <c r="F41">
        <v>2</v>
      </c>
    </row>
    <row r="42" spans="1:6" x14ac:dyDescent="0.25">
      <c r="A42" s="1">
        <v>45698</v>
      </c>
      <c r="B42" t="s">
        <v>6</v>
      </c>
      <c r="C42">
        <v>83</v>
      </c>
      <c r="D42">
        <v>124</v>
      </c>
      <c r="E42">
        <v>7</v>
      </c>
      <c r="F42">
        <v>2</v>
      </c>
    </row>
    <row r="43" spans="1:6" x14ac:dyDescent="0.25">
      <c r="A43" s="1">
        <v>45699</v>
      </c>
      <c r="B43" t="s">
        <v>6</v>
      </c>
      <c r="C43">
        <v>115</v>
      </c>
      <c r="D43">
        <v>164</v>
      </c>
      <c r="E43">
        <v>7</v>
      </c>
      <c r="F43">
        <v>2</v>
      </c>
    </row>
    <row r="44" spans="1:6" x14ac:dyDescent="0.25">
      <c r="A44" s="1">
        <v>45700</v>
      </c>
      <c r="B44" t="s">
        <v>6</v>
      </c>
      <c r="C44">
        <v>105</v>
      </c>
      <c r="D44">
        <v>152</v>
      </c>
      <c r="E44">
        <v>7</v>
      </c>
      <c r="F44">
        <v>2</v>
      </c>
    </row>
    <row r="45" spans="1:6" x14ac:dyDescent="0.25">
      <c r="A45" s="1">
        <v>45701</v>
      </c>
      <c r="B45" t="s">
        <v>6</v>
      </c>
      <c r="C45">
        <v>92</v>
      </c>
      <c r="D45">
        <v>141</v>
      </c>
      <c r="E45">
        <v>7</v>
      </c>
      <c r="F45">
        <v>2</v>
      </c>
    </row>
    <row r="46" spans="1:6" x14ac:dyDescent="0.25">
      <c r="A46" s="1">
        <v>45702</v>
      </c>
      <c r="B46" t="s">
        <v>6</v>
      </c>
      <c r="C46">
        <v>102</v>
      </c>
      <c r="D46">
        <v>149</v>
      </c>
      <c r="E46">
        <v>7</v>
      </c>
      <c r="F46">
        <v>2</v>
      </c>
    </row>
    <row r="47" spans="1:6" x14ac:dyDescent="0.25">
      <c r="A47" s="1">
        <v>45703</v>
      </c>
      <c r="B47" t="s">
        <v>6</v>
      </c>
      <c r="C47">
        <v>97</v>
      </c>
      <c r="D47">
        <v>117</v>
      </c>
      <c r="E47">
        <v>7</v>
      </c>
      <c r="F47">
        <v>2</v>
      </c>
    </row>
    <row r="48" spans="1:6" x14ac:dyDescent="0.25">
      <c r="A48" s="1">
        <v>45704</v>
      </c>
      <c r="B48" t="s">
        <v>6</v>
      </c>
      <c r="C48">
        <v>92</v>
      </c>
      <c r="D48">
        <v>131</v>
      </c>
      <c r="E48">
        <v>7</v>
      </c>
      <c r="F48">
        <v>2</v>
      </c>
    </row>
    <row r="49" spans="1:6" x14ac:dyDescent="0.25">
      <c r="A49" s="1">
        <v>45705</v>
      </c>
      <c r="B49" t="s">
        <v>6</v>
      </c>
      <c r="C49">
        <v>97</v>
      </c>
      <c r="D49">
        <v>122</v>
      </c>
      <c r="E49">
        <v>8</v>
      </c>
      <c r="F49">
        <v>2</v>
      </c>
    </row>
    <row r="50" spans="1:6" x14ac:dyDescent="0.25">
      <c r="A50" s="1">
        <v>45706</v>
      </c>
      <c r="B50" t="s">
        <v>6</v>
      </c>
      <c r="C50">
        <v>101</v>
      </c>
      <c r="D50">
        <v>125</v>
      </c>
      <c r="E50">
        <v>8</v>
      </c>
      <c r="F50">
        <v>2</v>
      </c>
    </row>
    <row r="51" spans="1:6" x14ac:dyDescent="0.25">
      <c r="A51" s="1">
        <v>45707</v>
      </c>
      <c r="B51" t="s">
        <v>6</v>
      </c>
      <c r="C51">
        <v>107</v>
      </c>
      <c r="D51">
        <v>150</v>
      </c>
      <c r="E51">
        <v>8</v>
      </c>
      <c r="F51">
        <v>2</v>
      </c>
    </row>
    <row r="52" spans="1:6" x14ac:dyDescent="0.25">
      <c r="A52" s="1">
        <v>45708</v>
      </c>
      <c r="B52" t="s">
        <v>6</v>
      </c>
      <c r="C52">
        <v>122</v>
      </c>
      <c r="D52">
        <v>165</v>
      </c>
      <c r="E52">
        <v>8</v>
      </c>
      <c r="F52">
        <v>2</v>
      </c>
    </row>
    <row r="53" spans="1:6" x14ac:dyDescent="0.25">
      <c r="A53" s="1">
        <v>45709</v>
      </c>
      <c r="B53" t="s">
        <v>6</v>
      </c>
      <c r="C53">
        <v>107</v>
      </c>
      <c r="D53">
        <v>143</v>
      </c>
      <c r="E53">
        <v>8</v>
      </c>
      <c r="F53">
        <v>2</v>
      </c>
    </row>
    <row r="54" spans="1:6" x14ac:dyDescent="0.25">
      <c r="A54" s="1">
        <v>45710</v>
      </c>
      <c r="B54" t="s">
        <v>6</v>
      </c>
      <c r="C54">
        <v>93</v>
      </c>
      <c r="D54">
        <v>119</v>
      </c>
      <c r="E54">
        <v>8</v>
      </c>
      <c r="F54">
        <v>2</v>
      </c>
    </row>
    <row r="55" spans="1:6" x14ac:dyDescent="0.25">
      <c r="A55" s="1">
        <v>45711</v>
      </c>
      <c r="B55" t="s">
        <v>6</v>
      </c>
      <c r="C55">
        <v>101</v>
      </c>
      <c r="D55">
        <v>137</v>
      </c>
      <c r="E55">
        <v>8</v>
      </c>
      <c r="F55">
        <v>2</v>
      </c>
    </row>
    <row r="56" spans="1:6" x14ac:dyDescent="0.25">
      <c r="A56" s="1">
        <v>45712</v>
      </c>
      <c r="B56" t="s">
        <v>6</v>
      </c>
      <c r="C56">
        <v>105</v>
      </c>
      <c r="D56">
        <v>145</v>
      </c>
      <c r="E56">
        <v>9</v>
      </c>
      <c r="F56">
        <v>2</v>
      </c>
    </row>
    <row r="57" spans="1:6" x14ac:dyDescent="0.25">
      <c r="A57" s="1">
        <v>45713</v>
      </c>
      <c r="B57" t="s">
        <v>6</v>
      </c>
      <c r="C57">
        <v>93</v>
      </c>
      <c r="D57">
        <v>123</v>
      </c>
      <c r="E57">
        <v>9</v>
      </c>
      <c r="F57">
        <v>2</v>
      </c>
    </row>
    <row r="58" spans="1:6" x14ac:dyDescent="0.25">
      <c r="A58" s="1">
        <v>45714</v>
      </c>
      <c r="B58" t="s">
        <v>6</v>
      </c>
      <c r="C58">
        <v>97</v>
      </c>
      <c r="D58">
        <v>122</v>
      </c>
      <c r="E58">
        <v>9</v>
      </c>
      <c r="F58">
        <v>2</v>
      </c>
    </row>
    <row r="59" spans="1:6" x14ac:dyDescent="0.25">
      <c r="A59" s="1">
        <v>45715</v>
      </c>
      <c r="B59" t="s">
        <v>6</v>
      </c>
      <c r="C59">
        <v>97</v>
      </c>
      <c r="D59">
        <v>122</v>
      </c>
      <c r="E59">
        <v>9</v>
      </c>
      <c r="F59">
        <v>2</v>
      </c>
    </row>
    <row r="60" spans="1:6" x14ac:dyDescent="0.25">
      <c r="A60" s="1">
        <v>45716</v>
      </c>
      <c r="B60" t="s">
        <v>6</v>
      </c>
      <c r="C60">
        <v>98</v>
      </c>
      <c r="D60">
        <v>133</v>
      </c>
      <c r="E60">
        <v>9</v>
      </c>
      <c r="F60">
        <v>2</v>
      </c>
    </row>
    <row r="61" spans="1:6" x14ac:dyDescent="0.25">
      <c r="A61" s="1">
        <v>45717</v>
      </c>
      <c r="B61" t="s">
        <v>6</v>
      </c>
      <c r="C61">
        <v>112</v>
      </c>
      <c r="D61">
        <v>137</v>
      </c>
      <c r="E61">
        <v>9</v>
      </c>
      <c r="F61">
        <v>3</v>
      </c>
    </row>
    <row r="62" spans="1:6" x14ac:dyDescent="0.25">
      <c r="A62" s="1">
        <v>45718</v>
      </c>
      <c r="B62" t="s">
        <v>6</v>
      </c>
      <c r="C62">
        <v>107</v>
      </c>
      <c r="D62">
        <v>154</v>
      </c>
      <c r="E62">
        <v>9</v>
      </c>
      <c r="F62">
        <v>3</v>
      </c>
    </row>
    <row r="63" spans="1:6" x14ac:dyDescent="0.25">
      <c r="A63" s="1">
        <v>45719</v>
      </c>
      <c r="B63" t="s">
        <v>6</v>
      </c>
      <c r="C63">
        <v>106</v>
      </c>
      <c r="D63">
        <v>128</v>
      </c>
      <c r="E63">
        <v>10</v>
      </c>
      <c r="F63">
        <v>3</v>
      </c>
    </row>
    <row r="64" spans="1:6" x14ac:dyDescent="0.25">
      <c r="A64" s="1">
        <v>45720</v>
      </c>
      <c r="B64" t="s">
        <v>6</v>
      </c>
      <c r="C64">
        <v>111</v>
      </c>
      <c r="D64">
        <v>137</v>
      </c>
      <c r="E64">
        <v>10</v>
      </c>
      <c r="F64">
        <v>3</v>
      </c>
    </row>
    <row r="65" spans="1:6" x14ac:dyDescent="0.25">
      <c r="A65" s="1">
        <v>45721</v>
      </c>
      <c r="B65" t="s">
        <v>6</v>
      </c>
      <c r="C65">
        <v>90</v>
      </c>
      <c r="D65">
        <v>116</v>
      </c>
      <c r="E65">
        <v>10</v>
      </c>
      <c r="F65">
        <v>3</v>
      </c>
    </row>
    <row r="66" spans="1:6" x14ac:dyDescent="0.25">
      <c r="A66" s="1">
        <v>45722</v>
      </c>
      <c r="B66" t="s">
        <v>6</v>
      </c>
      <c r="C66">
        <v>121</v>
      </c>
      <c r="D66">
        <v>168</v>
      </c>
      <c r="E66">
        <v>10</v>
      </c>
      <c r="F66">
        <v>3</v>
      </c>
    </row>
    <row r="67" spans="1:6" x14ac:dyDescent="0.25">
      <c r="A67" s="1">
        <v>45723</v>
      </c>
      <c r="B67" t="s">
        <v>6</v>
      </c>
      <c r="C67">
        <v>108</v>
      </c>
      <c r="D67">
        <v>157</v>
      </c>
      <c r="E67">
        <v>10</v>
      </c>
      <c r="F67">
        <v>3</v>
      </c>
    </row>
    <row r="68" spans="1:6" x14ac:dyDescent="0.25">
      <c r="A68" s="1">
        <v>45724</v>
      </c>
      <c r="B68" t="s">
        <v>6</v>
      </c>
      <c r="C68">
        <v>107</v>
      </c>
      <c r="D68">
        <v>142</v>
      </c>
      <c r="E68">
        <v>10</v>
      </c>
      <c r="F68">
        <v>3</v>
      </c>
    </row>
    <row r="69" spans="1:6" x14ac:dyDescent="0.25">
      <c r="A69" s="1">
        <v>45725</v>
      </c>
      <c r="B69" t="s">
        <v>6</v>
      </c>
      <c r="C69">
        <v>111</v>
      </c>
      <c r="D69">
        <v>158</v>
      </c>
      <c r="E69">
        <v>10</v>
      </c>
      <c r="F69">
        <v>3</v>
      </c>
    </row>
    <row r="70" spans="1:6" x14ac:dyDescent="0.25">
      <c r="A70" s="1">
        <v>45726</v>
      </c>
      <c r="B70" t="s">
        <v>6</v>
      </c>
      <c r="C70">
        <v>115</v>
      </c>
      <c r="D70">
        <v>143</v>
      </c>
      <c r="E70">
        <v>11</v>
      </c>
      <c r="F70">
        <v>3</v>
      </c>
    </row>
    <row r="71" spans="1:6" x14ac:dyDescent="0.25">
      <c r="A71" s="1">
        <v>45727</v>
      </c>
      <c r="B71" t="s">
        <v>6</v>
      </c>
      <c r="C71">
        <v>96</v>
      </c>
      <c r="D71">
        <v>118</v>
      </c>
      <c r="E71">
        <v>11</v>
      </c>
      <c r="F71">
        <v>3</v>
      </c>
    </row>
    <row r="72" spans="1:6" x14ac:dyDescent="0.25">
      <c r="A72" s="1">
        <v>45728</v>
      </c>
      <c r="B72" t="s">
        <v>6</v>
      </c>
      <c r="C72">
        <v>113</v>
      </c>
      <c r="D72">
        <v>133</v>
      </c>
      <c r="E72">
        <v>11</v>
      </c>
      <c r="F72">
        <v>3</v>
      </c>
    </row>
    <row r="73" spans="1:6" x14ac:dyDescent="0.25">
      <c r="A73" s="1">
        <v>45729</v>
      </c>
      <c r="B73" t="s">
        <v>6</v>
      </c>
      <c r="C73">
        <v>105</v>
      </c>
      <c r="D73">
        <v>132</v>
      </c>
      <c r="E73">
        <v>11</v>
      </c>
      <c r="F73">
        <v>3</v>
      </c>
    </row>
    <row r="74" spans="1:6" x14ac:dyDescent="0.25">
      <c r="A74" s="1">
        <v>45730</v>
      </c>
      <c r="B74" t="s">
        <v>6</v>
      </c>
      <c r="C74">
        <v>110</v>
      </c>
      <c r="D74">
        <v>159</v>
      </c>
      <c r="E74">
        <v>11</v>
      </c>
      <c r="F74">
        <v>3</v>
      </c>
    </row>
    <row r="75" spans="1:6" x14ac:dyDescent="0.25">
      <c r="A75" s="1">
        <v>45731</v>
      </c>
      <c r="B75" t="s">
        <v>6</v>
      </c>
      <c r="C75">
        <v>106</v>
      </c>
      <c r="D75">
        <v>139</v>
      </c>
      <c r="E75">
        <v>11</v>
      </c>
      <c r="F75">
        <v>3</v>
      </c>
    </row>
    <row r="76" spans="1:6" x14ac:dyDescent="0.25">
      <c r="A76" s="1">
        <v>45732</v>
      </c>
      <c r="B76" t="s">
        <v>6</v>
      </c>
      <c r="C76">
        <v>102</v>
      </c>
      <c r="D76">
        <v>137</v>
      </c>
      <c r="E76">
        <v>11</v>
      </c>
      <c r="F76">
        <v>3</v>
      </c>
    </row>
    <row r="77" spans="1:6" x14ac:dyDescent="0.25">
      <c r="A77" s="1">
        <v>45733</v>
      </c>
      <c r="B77" t="s">
        <v>6</v>
      </c>
      <c r="C77">
        <v>90</v>
      </c>
      <c r="D77">
        <v>117</v>
      </c>
      <c r="E77">
        <v>12</v>
      </c>
      <c r="F77">
        <v>3</v>
      </c>
    </row>
    <row r="78" spans="1:6" x14ac:dyDescent="0.25">
      <c r="A78" s="1">
        <v>45734</v>
      </c>
      <c r="B78" t="s">
        <v>6</v>
      </c>
      <c r="C78">
        <v>113</v>
      </c>
      <c r="D78">
        <v>133</v>
      </c>
      <c r="E78">
        <v>12</v>
      </c>
      <c r="F78">
        <v>3</v>
      </c>
    </row>
    <row r="79" spans="1:6" x14ac:dyDescent="0.25">
      <c r="A79" s="1">
        <v>45735</v>
      </c>
      <c r="B79" t="s">
        <v>6</v>
      </c>
      <c r="C79">
        <v>102</v>
      </c>
      <c r="D79">
        <v>143</v>
      </c>
      <c r="E79">
        <v>12</v>
      </c>
      <c r="F79">
        <v>3</v>
      </c>
    </row>
    <row r="80" spans="1:6" x14ac:dyDescent="0.25">
      <c r="A80" s="1">
        <v>45736</v>
      </c>
      <c r="B80" t="s">
        <v>6</v>
      </c>
      <c r="C80">
        <v>94</v>
      </c>
      <c r="D80">
        <v>119</v>
      </c>
      <c r="E80">
        <v>12</v>
      </c>
      <c r="F80">
        <v>3</v>
      </c>
    </row>
    <row r="81" spans="1:6" x14ac:dyDescent="0.25">
      <c r="A81" s="1">
        <v>45737</v>
      </c>
      <c r="B81" t="s">
        <v>6</v>
      </c>
      <c r="C81">
        <v>117</v>
      </c>
      <c r="D81">
        <v>157</v>
      </c>
      <c r="E81">
        <v>12</v>
      </c>
      <c r="F81">
        <v>3</v>
      </c>
    </row>
    <row r="82" spans="1:6" x14ac:dyDescent="0.25">
      <c r="A82" s="1">
        <v>45738</v>
      </c>
      <c r="B82" t="s">
        <v>6</v>
      </c>
      <c r="C82">
        <v>101</v>
      </c>
      <c r="D82">
        <v>121</v>
      </c>
      <c r="E82">
        <v>12</v>
      </c>
      <c r="F82">
        <v>3</v>
      </c>
    </row>
    <row r="83" spans="1:6" x14ac:dyDescent="0.25">
      <c r="A83" s="1">
        <v>45739</v>
      </c>
      <c r="B83" t="s">
        <v>6</v>
      </c>
      <c r="C83">
        <v>91</v>
      </c>
      <c r="D83">
        <v>129</v>
      </c>
      <c r="E83">
        <v>12</v>
      </c>
      <c r="F83">
        <v>3</v>
      </c>
    </row>
    <row r="84" spans="1:6" x14ac:dyDescent="0.25">
      <c r="A84" s="1">
        <v>45740</v>
      </c>
      <c r="B84" t="s">
        <v>6</v>
      </c>
      <c r="C84">
        <v>103</v>
      </c>
      <c r="D84">
        <v>139</v>
      </c>
      <c r="E84">
        <v>13</v>
      </c>
      <c r="F84">
        <v>3</v>
      </c>
    </row>
    <row r="85" spans="1:6" x14ac:dyDescent="0.25">
      <c r="A85" s="1">
        <v>45741</v>
      </c>
      <c r="B85" t="s">
        <v>6</v>
      </c>
      <c r="C85">
        <v>94</v>
      </c>
      <c r="D85">
        <v>141</v>
      </c>
      <c r="E85">
        <v>13</v>
      </c>
      <c r="F85">
        <v>3</v>
      </c>
    </row>
    <row r="86" spans="1:6" x14ac:dyDescent="0.25">
      <c r="A86" s="1">
        <v>45742</v>
      </c>
      <c r="B86" t="s">
        <v>6</v>
      </c>
      <c r="C86">
        <v>99</v>
      </c>
      <c r="D86">
        <v>121</v>
      </c>
      <c r="E86">
        <v>13</v>
      </c>
      <c r="F86">
        <v>3</v>
      </c>
    </row>
    <row r="87" spans="1:6" x14ac:dyDescent="0.25">
      <c r="A87" s="1">
        <v>45743</v>
      </c>
      <c r="B87" t="s">
        <v>6</v>
      </c>
      <c r="C87">
        <v>95</v>
      </c>
      <c r="D87">
        <v>115</v>
      </c>
      <c r="E87">
        <v>13</v>
      </c>
      <c r="F87">
        <v>3</v>
      </c>
    </row>
    <row r="88" spans="1:6" x14ac:dyDescent="0.25">
      <c r="A88" s="1">
        <v>45744</v>
      </c>
      <c r="B88" t="s">
        <v>6</v>
      </c>
      <c r="C88">
        <v>95</v>
      </c>
      <c r="D88">
        <v>139</v>
      </c>
      <c r="E88">
        <v>13</v>
      </c>
      <c r="F88">
        <v>3</v>
      </c>
    </row>
    <row r="89" spans="1:6" x14ac:dyDescent="0.25">
      <c r="A89" s="1">
        <v>45745</v>
      </c>
      <c r="B89" t="s">
        <v>6</v>
      </c>
      <c r="C89">
        <v>98</v>
      </c>
      <c r="D89">
        <v>120</v>
      </c>
      <c r="E89">
        <v>13</v>
      </c>
      <c r="F89">
        <v>3</v>
      </c>
    </row>
    <row r="90" spans="1:6" x14ac:dyDescent="0.25">
      <c r="A90" s="1">
        <v>45746</v>
      </c>
      <c r="B90" t="s">
        <v>6</v>
      </c>
      <c r="C90">
        <v>103</v>
      </c>
      <c r="D90">
        <v>137</v>
      </c>
      <c r="E90">
        <v>13</v>
      </c>
      <c r="F90">
        <v>3</v>
      </c>
    </row>
    <row r="91" spans="1:6" x14ac:dyDescent="0.25">
      <c r="A91" s="1">
        <v>45747</v>
      </c>
      <c r="B91" t="s">
        <v>6</v>
      </c>
      <c r="C91">
        <v>101</v>
      </c>
      <c r="D91">
        <v>137</v>
      </c>
      <c r="E91">
        <v>14</v>
      </c>
      <c r="F91">
        <v>3</v>
      </c>
    </row>
    <row r="92" spans="1:6" x14ac:dyDescent="0.25">
      <c r="A92" s="1">
        <v>45748</v>
      </c>
      <c r="B92" t="s">
        <v>6</v>
      </c>
      <c r="C92">
        <v>113</v>
      </c>
      <c r="D92">
        <v>154</v>
      </c>
      <c r="E92">
        <v>14</v>
      </c>
      <c r="F92">
        <v>4</v>
      </c>
    </row>
    <row r="93" spans="1:6" x14ac:dyDescent="0.25">
      <c r="A93" s="1">
        <v>45749</v>
      </c>
      <c r="B93" t="s">
        <v>6</v>
      </c>
      <c r="C93">
        <v>97</v>
      </c>
      <c r="D93">
        <v>139</v>
      </c>
      <c r="E93">
        <v>14</v>
      </c>
      <c r="F93">
        <v>4</v>
      </c>
    </row>
    <row r="94" spans="1:6" x14ac:dyDescent="0.25">
      <c r="A94" s="1">
        <v>45750</v>
      </c>
      <c r="B94" t="s">
        <v>6</v>
      </c>
      <c r="C94">
        <v>99</v>
      </c>
      <c r="D94">
        <v>142</v>
      </c>
      <c r="E94">
        <v>14</v>
      </c>
      <c r="F94">
        <v>4</v>
      </c>
    </row>
    <row r="95" spans="1:6" x14ac:dyDescent="0.25">
      <c r="A95" s="1">
        <v>45751</v>
      </c>
      <c r="B95" t="s">
        <v>6</v>
      </c>
      <c r="C95">
        <v>117</v>
      </c>
      <c r="D95">
        <v>161</v>
      </c>
      <c r="E95">
        <v>14</v>
      </c>
      <c r="F95">
        <v>4</v>
      </c>
    </row>
    <row r="96" spans="1:6" x14ac:dyDescent="0.25">
      <c r="A96" s="1">
        <v>45752</v>
      </c>
      <c r="B96" t="s">
        <v>6</v>
      </c>
      <c r="C96">
        <v>105</v>
      </c>
      <c r="D96">
        <v>132</v>
      </c>
      <c r="E96">
        <v>14</v>
      </c>
      <c r="F96">
        <v>4</v>
      </c>
    </row>
    <row r="97" spans="1:6" x14ac:dyDescent="0.25">
      <c r="A97" s="1">
        <v>45753</v>
      </c>
      <c r="B97" t="s">
        <v>6</v>
      </c>
      <c r="C97">
        <v>107</v>
      </c>
      <c r="D97">
        <v>138</v>
      </c>
      <c r="E97">
        <v>14</v>
      </c>
      <c r="F97">
        <v>4</v>
      </c>
    </row>
    <row r="98" spans="1:6" x14ac:dyDescent="0.25">
      <c r="A98" s="1">
        <v>45754</v>
      </c>
      <c r="B98" t="s">
        <v>6</v>
      </c>
      <c r="C98">
        <v>115</v>
      </c>
      <c r="D98">
        <v>136</v>
      </c>
      <c r="E98">
        <v>15</v>
      </c>
      <c r="F98">
        <v>4</v>
      </c>
    </row>
    <row r="99" spans="1:6" x14ac:dyDescent="0.25">
      <c r="A99" s="1">
        <v>45755</v>
      </c>
      <c r="B99" t="s">
        <v>6</v>
      </c>
      <c r="C99">
        <v>85</v>
      </c>
      <c r="D99">
        <v>126</v>
      </c>
      <c r="E99">
        <v>15</v>
      </c>
      <c r="F99">
        <v>4</v>
      </c>
    </row>
    <row r="100" spans="1:6" x14ac:dyDescent="0.25">
      <c r="A100" s="1">
        <v>45756</v>
      </c>
      <c r="B100" t="s">
        <v>6</v>
      </c>
      <c r="C100">
        <v>96</v>
      </c>
      <c r="D100">
        <v>145</v>
      </c>
      <c r="E100">
        <v>15</v>
      </c>
      <c r="F100">
        <v>4</v>
      </c>
    </row>
    <row r="101" spans="1:6" x14ac:dyDescent="0.25">
      <c r="A101" s="1">
        <v>45757</v>
      </c>
      <c r="B101" t="s">
        <v>6</v>
      </c>
      <c r="C101">
        <v>94</v>
      </c>
      <c r="D101">
        <v>135</v>
      </c>
      <c r="E101">
        <v>15</v>
      </c>
      <c r="F101">
        <v>4</v>
      </c>
    </row>
    <row r="102" spans="1:6" x14ac:dyDescent="0.25">
      <c r="A102" s="1">
        <v>45758</v>
      </c>
      <c r="B102" t="s">
        <v>6</v>
      </c>
      <c r="C102">
        <v>93</v>
      </c>
      <c r="D102">
        <v>127</v>
      </c>
      <c r="E102">
        <v>15</v>
      </c>
      <c r="F102">
        <v>4</v>
      </c>
    </row>
    <row r="103" spans="1:6" x14ac:dyDescent="0.25">
      <c r="A103" s="1">
        <v>45759</v>
      </c>
      <c r="B103" t="s">
        <v>6</v>
      </c>
      <c r="C103">
        <v>97</v>
      </c>
      <c r="D103">
        <v>117</v>
      </c>
      <c r="E103">
        <v>15</v>
      </c>
      <c r="F103">
        <v>4</v>
      </c>
    </row>
    <row r="104" spans="1:6" x14ac:dyDescent="0.25">
      <c r="A104" s="1">
        <v>45760</v>
      </c>
      <c r="B104" t="s">
        <v>6</v>
      </c>
      <c r="C104">
        <v>112</v>
      </c>
      <c r="D104">
        <v>143</v>
      </c>
      <c r="E104">
        <v>15</v>
      </c>
      <c r="F104">
        <v>4</v>
      </c>
    </row>
    <row r="105" spans="1:6" x14ac:dyDescent="0.25">
      <c r="A105" s="1">
        <v>45761</v>
      </c>
      <c r="B105" t="s">
        <v>6</v>
      </c>
      <c r="C105">
        <v>105</v>
      </c>
      <c r="D105">
        <v>137</v>
      </c>
      <c r="E105">
        <v>16</v>
      </c>
      <c r="F105">
        <v>4</v>
      </c>
    </row>
    <row r="106" spans="1:6" x14ac:dyDescent="0.25">
      <c r="A106" s="1">
        <v>45762</v>
      </c>
      <c r="B106" t="s">
        <v>6</v>
      </c>
      <c r="C106">
        <v>91</v>
      </c>
      <c r="D106">
        <v>113</v>
      </c>
      <c r="E106">
        <v>16</v>
      </c>
      <c r="F106">
        <v>4</v>
      </c>
    </row>
    <row r="107" spans="1:6" x14ac:dyDescent="0.25">
      <c r="A107" s="1">
        <v>45763</v>
      </c>
      <c r="B107" t="s">
        <v>6</v>
      </c>
      <c r="C107">
        <v>105</v>
      </c>
      <c r="D107">
        <v>137</v>
      </c>
      <c r="E107">
        <v>16</v>
      </c>
      <c r="F107">
        <v>4</v>
      </c>
    </row>
    <row r="108" spans="1:6" x14ac:dyDescent="0.25">
      <c r="A108" s="1">
        <v>45764</v>
      </c>
      <c r="B108" t="s">
        <v>6</v>
      </c>
      <c r="C108">
        <v>76</v>
      </c>
      <c r="D108">
        <v>114</v>
      </c>
      <c r="E108">
        <v>16</v>
      </c>
      <c r="F108">
        <v>4</v>
      </c>
    </row>
    <row r="109" spans="1:6" x14ac:dyDescent="0.25">
      <c r="A109" s="1">
        <v>45765</v>
      </c>
      <c r="B109" t="s">
        <v>6</v>
      </c>
      <c r="C109">
        <v>99</v>
      </c>
      <c r="D109">
        <v>123</v>
      </c>
      <c r="E109">
        <v>16</v>
      </c>
      <c r="F109">
        <v>4</v>
      </c>
    </row>
    <row r="110" spans="1:6" x14ac:dyDescent="0.25">
      <c r="A110" s="1">
        <v>45766</v>
      </c>
      <c r="B110" t="s">
        <v>6</v>
      </c>
      <c r="C110">
        <v>91</v>
      </c>
      <c r="D110">
        <v>119</v>
      </c>
      <c r="E110">
        <v>16</v>
      </c>
      <c r="F110">
        <v>4</v>
      </c>
    </row>
    <row r="111" spans="1:6" x14ac:dyDescent="0.25">
      <c r="A111" s="1">
        <v>45767</v>
      </c>
      <c r="B111" t="s">
        <v>6</v>
      </c>
      <c r="C111">
        <v>107</v>
      </c>
      <c r="D111">
        <v>152</v>
      </c>
      <c r="E111">
        <v>16</v>
      </c>
      <c r="F111">
        <v>4</v>
      </c>
    </row>
    <row r="112" spans="1:6" x14ac:dyDescent="0.25">
      <c r="A112" s="1">
        <v>45768</v>
      </c>
      <c r="B112" t="s">
        <v>6</v>
      </c>
      <c r="C112">
        <v>89</v>
      </c>
      <c r="D112">
        <v>138</v>
      </c>
      <c r="E112">
        <v>17</v>
      </c>
      <c r="F112">
        <v>4</v>
      </c>
    </row>
    <row r="113" spans="1:6" x14ac:dyDescent="0.25">
      <c r="A113" s="1">
        <v>45769</v>
      </c>
      <c r="B113" t="s">
        <v>6</v>
      </c>
      <c r="C113">
        <v>85</v>
      </c>
      <c r="D113">
        <v>117</v>
      </c>
      <c r="E113">
        <v>17</v>
      </c>
      <c r="F113">
        <v>4</v>
      </c>
    </row>
    <row r="114" spans="1:6" x14ac:dyDescent="0.25">
      <c r="A114" s="1">
        <v>45770</v>
      </c>
      <c r="B114" t="s">
        <v>6</v>
      </c>
      <c r="C114">
        <v>108</v>
      </c>
      <c r="D114">
        <v>149</v>
      </c>
      <c r="E114">
        <v>17</v>
      </c>
      <c r="F114">
        <v>4</v>
      </c>
    </row>
    <row r="115" spans="1:6" x14ac:dyDescent="0.25">
      <c r="A115" s="1">
        <v>45771</v>
      </c>
      <c r="B115" t="s">
        <v>6</v>
      </c>
      <c r="C115">
        <v>108</v>
      </c>
      <c r="D115">
        <v>153</v>
      </c>
      <c r="E115">
        <v>17</v>
      </c>
      <c r="F115">
        <v>4</v>
      </c>
    </row>
    <row r="116" spans="1:6" x14ac:dyDescent="0.25">
      <c r="A116" s="1">
        <v>45772</v>
      </c>
      <c r="B116" t="s">
        <v>6</v>
      </c>
      <c r="C116">
        <v>97</v>
      </c>
      <c r="D116">
        <v>141</v>
      </c>
      <c r="E116">
        <v>17</v>
      </c>
      <c r="F116">
        <v>4</v>
      </c>
    </row>
    <row r="117" spans="1:6" x14ac:dyDescent="0.25">
      <c r="A117" s="1">
        <v>45773</v>
      </c>
      <c r="B117" t="s">
        <v>6</v>
      </c>
      <c r="C117">
        <v>96</v>
      </c>
      <c r="D117">
        <v>130</v>
      </c>
      <c r="E117">
        <v>17</v>
      </c>
      <c r="F117">
        <v>4</v>
      </c>
    </row>
    <row r="118" spans="1:6" x14ac:dyDescent="0.25">
      <c r="A118" s="1">
        <v>45774</v>
      </c>
      <c r="B118" t="s">
        <v>6</v>
      </c>
      <c r="C118">
        <v>107</v>
      </c>
      <c r="D118">
        <v>152</v>
      </c>
      <c r="E118">
        <v>17</v>
      </c>
      <c r="F118">
        <v>4</v>
      </c>
    </row>
    <row r="119" spans="1:6" x14ac:dyDescent="0.25">
      <c r="A119" s="1">
        <v>45775</v>
      </c>
      <c r="B119" t="s">
        <v>6</v>
      </c>
      <c r="C119">
        <v>109</v>
      </c>
      <c r="D119">
        <v>132</v>
      </c>
      <c r="E119">
        <v>18</v>
      </c>
      <c r="F119">
        <v>4</v>
      </c>
    </row>
    <row r="120" spans="1:6" x14ac:dyDescent="0.25">
      <c r="A120" s="1">
        <v>45776</v>
      </c>
      <c r="B120" t="s">
        <v>6</v>
      </c>
      <c r="C120">
        <v>90</v>
      </c>
      <c r="D120">
        <v>132</v>
      </c>
      <c r="E120">
        <v>18</v>
      </c>
      <c r="F120">
        <v>4</v>
      </c>
    </row>
    <row r="121" spans="1:6" x14ac:dyDescent="0.25">
      <c r="A121" s="1">
        <v>45777</v>
      </c>
      <c r="B121" t="s">
        <v>6</v>
      </c>
      <c r="C121">
        <v>115</v>
      </c>
      <c r="D121">
        <v>144</v>
      </c>
      <c r="E121">
        <v>18</v>
      </c>
      <c r="F121">
        <v>4</v>
      </c>
    </row>
    <row r="122" spans="1:6" x14ac:dyDescent="0.25">
      <c r="A122" s="1">
        <v>45658</v>
      </c>
      <c r="B122" t="s">
        <v>7</v>
      </c>
      <c r="C122">
        <v>68</v>
      </c>
      <c r="D122">
        <v>92</v>
      </c>
      <c r="E122">
        <v>1</v>
      </c>
      <c r="F122">
        <v>1</v>
      </c>
    </row>
    <row r="123" spans="1:6" x14ac:dyDescent="0.25">
      <c r="A123" s="1">
        <v>45659</v>
      </c>
      <c r="B123" t="s">
        <v>7</v>
      </c>
      <c r="C123">
        <v>73</v>
      </c>
      <c r="D123">
        <v>108</v>
      </c>
      <c r="E123">
        <v>1</v>
      </c>
      <c r="F123">
        <v>1</v>
      </c>
    </row>
    <row r="124" spans="1:6" x14ac:dyDescent="0.25">
      <c r="A124" s="1">
        <v>45660</v>
      </c>
      <c r="B124" t="s">
        <v>7</v>
      </c>
      <c r="C124">
        <v>71</v>
      </c>
      <c r="D124">
        <v>117</v>
      </c>
      <c r="E124">
        <v>1</v>
      </c>
      <c r="F124">
        <v>1</v>
      </c>
    </row>
    <row r="125" spans="1:6" x14ac:dyDescent="0.25">
      <c r="A125" s="1">
        <v>45661</v>
      </c>
      <c r="B125" t="s">
        <v>7</v>
      </c>
      <c r="C125">
        <v>76</v>
      </c>
      <c r="D125">
        <v>98</v>
      </c>
      <c r="E125">
        <v>1</v>
      </c>
      <c r="F125">
        <v>1</v>
      </c>
    </row>
    <row r="126" spans="1:6" x14ac:dyDescent="0.25">
      <c r="A126" s="1">
        <v>45662</v>
      </c>
      <c r="B126" t="s">
        <v>7</v>
      </c>
      <c r="C126">
        <v>71</v>
      </c>
      <c r="D126">
        <v>109</v>
      </c>
      <c r="E126">
        <v>1</v>
      </c>
      <c r="F126">
        <v>1</v>
      </c>
    </row>
    <row r="127" spans="1:6" x14ac:dyDescent="0.25">
      <c r="A127" s="1">
        <v>45663</v>
      </c>
      <c r="B127" t="s">
        <v>7</v>
      </c>
      <c r="C127">
        <v>77</v>
      </c>
      <c r="D127">
        <v>97</v>
      </c>
      <c r="E127">
        <v>2</v>
      </c>
      <c r="F127">
        <v>1</v>
      </c>
    </row>
    <row r="128" spans="1:6" x14ac:dyDescent="0.25">
      <c r="A128" s="1">
        <v>45664</v>
      </c>
      <c r="B128" t="s">
        <v>7</v>
      </c>
      <c r="C128">
        <v>60</v>
      </c>
      <c r="D128">
        <v>93</v>
      </c>
      <c r="E128">
        <v>2</v>
      </c>
      <c r="F128">
        <v>1</v>
      </c>
    </row>
    <row r="129" spans="1:6" x14ac:dyDescent="0.25">
      <c r="A129" s="1">
        <v>45665</v>
      </c>
      <c r="B129" t="s">
        <v>7</v>
      </c>
      <c r="C129">
        <v>72</v>
      </c>
      <c r="D129">
        <v>99</v>
      </c>
      <c r="E129">
        <v>2</v>
      </c>
      <c r="F129">
        <v>1</v>
      </c>
    </row>
    <row r="130" spans="1:6" x14ac:dyDescent="0.25">
      <c r="A130" s="1">
        <v>45666</v>
      </c>
      <c r="B130" t="s">
        <v>7</v>
      </c>
      <c r="C130">
        <v>65</v>
      </c>
      <c r="D130">
        <v>114</v>
      </c>
      <c r="E130">
        <v>2</v>
      </c>
      <c r="F130">
        <v>1</v>
      </c>
    </row>
    <row r="131" spans="1:6" x14ac:dyDescent="0.25">
      <c r="A131" s="1">
        <v>45667</v>
      </c>
      <c r="B131" t="s">
        <v>7</v>
      </c>
      <c r="C131">
        <v>76</v>
      </c>
      <c r="D131">
        <v>99</v>
      </c>
      <c r="E131">
        <v>2</v>
      </c>
      <c r="F131">
        <v>1</v>
      </c>
    </row>
    <row r="132" spans="1:6" x14ac:dyDescent="0.25">
      <c r="A132" s="1">
        <v>45668</v>
      </c>
      <c r="B132" t="s">
        <v>7</v>
      </c>
      <c r="C132">
        <v>73</v>
      </c>
      <c r="D132">
        <v>103</v>
      </c>
      <c r="E132">
        <v>2</v>
      </c>
      <c r="F132">
        <v>1</v>
      </c>
    </row>
    <row r="133" spans="1:6" x14ac:dyDescent="0.25">
      <c r="A133" s="1">
        <v>45669</v>
      </c>
      <c r="B133" t="s">
        <v>7</v>
      </c>
      <c r="C133">
        <v>79</v>
      </c>
      <c r="D133">
        <v>119</v>
      </c>
      <c r="E133">
        <v>2</v>
      </c>
      <c r="F133">
        <v>1</v>
      </c>
    </row>
    <row r="134" spans="1:6" x14ac:dyDescent="0.25">
      <c r="A134" s="1">
        <v>45670</v>
      </c>
      <c r="B134" t="s">
        <v>7</v>
      </c>
      <c r="C134">
        <v>66</v>
      </c>
      <c r="D134">
        <v>88</v>
      </c>
      <c r="E134">
        <v>3</v>
      </c>
      <c r="F134">
        <v>1</v>
      </c>
    </row>
    <row r="135" spans="1:6" x14ac:dyDescent="0.25">
      <c r="A135" s="1">
        <v>45671</v>
      </c>
      <c r="B135" t="s">
        <v>7</v>
      </c>
      <c r="C135">
        <v>65</v>
      </c>
      <c r="D135">
        <v>108</v>
      </c>
      <c r="E135">
        <v>3</v>
      </c>
      <c r="F135">
        <v>1</v>
      </c>
    </row>
    <row r="136" spans="1:6" x14ac:dyDescent="0.25">
      <c r="A136" s="1">
        <v>45672</v>
      </c>
      <c r="B136" t="s">
        <v>7</v>
      </c>
      <c r="C136">
        <v>79</v>
      </c>
      <c r="D136">
        <v>110</v>
      </c>
      <c r="E136">
        <v>3</v>
      </c>
      <c r="F136">
        <v>1</v>
      </c>
    </row>
    <row r="137" spans="1:6" x14ac:dyDescent="0.25">
      <c r="A137" s="1">
        <v>45673</v>
      </c>
      <c r="B137" t="s">
        <v>7</v>
      </c>
      <c r="C137">
        <v>66</v>
      </c>
      <c r="D137">
        <v>110</v>
      </c>
      <c r="E137">
        <v>3</v>
      </c>
      <c r="F137">
        <v>1</v>
      </c>
    </row>
    <row r="138" spans="1:6" x14ac:dyDescent="0.25">
      <c r="A138" s="1">
        <v>45674</v>
      </c>
      <c r="B138" t="s">
        <v>7</v>
      </c>
      <c r="C138">
        <v>61</v>
      </c>
      <c r="D138">
        <v>97</v>
      </c>
      <c r="E138">
        <v>3</v>
      </c>
      <c r="F138">
        <v>1</v>
      </c>
    </row>
    <row r="139" spans="1:6" x14ac:dyDescent="0.25">
      <c r="A139" s="1">
        <v>45675</v>
      </c>
      <c r="B139" t="s">
        <v>7</v>
      </c>
      <c r="C139">
        <v>68</v>
      </c>
      <c r="D139">
        <v>109</v>
      </c>
      <c r="E139">
        <v>3</v>
      </c>
      <c r="F139">
        <v>1</v>
      </c>
    </row>
    <row r="140" spans="1:6" x14ac:dyDescent="0.25">
      <c r="A140" s="1">
        <v>45676</v>
      </c>
      <c r="B140" t="s">
        <v>7</v>
      </c>
      <c r="C140">
        <v>63</v>
      </c>
      <c r="D140">
        <v>86</v>
      </c>
      <c r="E140">
        <v>3</v>
      </c>
      <c r="F140">
        <v>1</v>
      </c>
    </row>
    <row r="141" spans="1:6" x14ac:dyDescent="0.25">
      <c r="A141" s="1">
        <v>45677</v>
      </c>
      <c r="B141" t="s">
        <v>7</v>
      </c>
      <c r="C141">
        <v>55</v>
      </c>
      <c r="D141">
        <v>88</v>
      </c>
      <c r="E141">
        <v>4</v>
      </c>
      <c r="F141">
        <v>1</v>
      </c>
    </row>
    <row r="142" spans="1:6" x14ac:dyDescent="0.25">
      <c r="A142" s="1">
        <v>45678</v>
      </c>
      <c r="B142" t="s">
        <v>7</v>
      </c>
      <c r="C142">
        <v>72</v>
      </c>
      <c r="D142">
        <v>117</v>
      </c>
      <c r="E142">
        <v>4</v>
      </c>
      <c r="F142">
        <v>1</v>
      </c>
    </row>
    <row r="143" spans="1:6" x14ac:dyDescent="0.25">
      <c r="A143" s="1">
        <v>45679</v>
      </c>
      <c r="B143" t="s">
        <v>7</v>
      </c>
      <c r="C143">
        <v>71</v>
      </c>
      <c r="D143">
        <v>93</v>
      </c>
      <c r="E143">
        <v>4</v>
      </c>
      <c r="F143">
        <v>1</v>
      </c>
    </row>
    <row r="144" spans="1:6" x14ac:dyDescent="0.25">
      <c r="A144" s="1">
        <v>45680</v>
      </c>
      <c r="B144" t="s">
        <v>7</v>
      </c>
      <c r="C144">
        <v>70</v>
      </c>
      <c r="D144">
        <v>110</v>
      </c>
      <c r="E144">
        <v>4</v>
      </c>
      <c r="F144">
        <v>1</v>
      </c>
    </row>
    <row r="145" spans="1:6" x14ac:dyDescent="0.25">
      <c r="A145" s="1">
        <v>45681</v>
      </c>
      <c r="B145" t="s">
        <v>7</v>
      </c>
      <c r="C145">
        <v>74</v>
      </c>
      <c r="D145">
        <v>118</v>
      </c>
      <c r="E145">
        <v>4</v>
      </c>
      <c r="F145">
        <v>1</v>
      </c>
    </row>
    <row r="146" spans="1:6" x14ac:dyDescent="0.25">
      <c r="A146" s="1">
        <v>45682</v>
      </c>
      <c r="B146" t="s">
        <v>7</v>
      </c>
      <c r="C146">
        <v>51</v>
      </c>
      <c r="D146">
        <v>99</v>
      </c>
      <c r="E146">
        <v>4</v>
      </c>
      <c r="F146">
        <v>1</v>
      </c>
    </row>
    <row r="147" spans="1:6" x14ac:dyDescent="0.25">
      <c r="A147" s="1">
        <v>45683</v>
      </c>
      <c r="B147" t="s">
        <v>7</v>
      </c>
      <c r="C147">
        <v>64</v>
      </c>
      <c r="D147">
        <v>95</v>
      </c>
      <c r="E147">
        <v>4</v>
      </c>
      <c r="F147">
        <v>1</v>
      </c>
    </row>
    <row r="148" spans="1:6" x14ac:dyDescent="0.25">
      <c r="A148" s="1">
        <v>45684</v>
      </c>
      <c r="B148" t="s">
        <v>7</v>
      </c>
      <c r="C148">
        <v>73</v>
      </c>
      <c r="D148">
        <v>109</v>
      </c>
      <c r="E148">
        <v>5</v>
      </c>
      <c r="F148">
        <v>1</v>
      </c>
    </row>
    <row r="149" spans="1:6" x14ac:dyDescent="0.25">
      <c r="A149" s="1">
        <v>45685</v>
      </c>
      <c r="B149" t="s">
        <v>7</v>
      </c>
      <c r="C149">
        <v>55</v>
      </c>
      <c r="D149">
        <v>87</v>
      </c>
      <c r="E149">
        <v>5</v>
      </c>
      <c r="F149">
        <v>1</v>
      </c>
    </row>
    <row r="150" spans="1:6" x14ac:dyDescent="0.25">
      <c r="A150" s="1">
        <v>45686</v>
      </c>
      <c r="B150" t="s">
        <v>7</v>
      </c>
      <c r="C150">
        <v>61</v>
      </c>
      <c r="D150">
        <v>107</v>
      </c>
      <c r="E150">
        <v>5</v>
      </c>
      <c r="F150">
        <v>1</v>
      </c>
    </row>
    <row r="151" spans="1:6" x14ac:dyDescent="0.25">
      <c r="A151" s="1">
        <v>45687</v>
      </c>
      <c r="B151" t="s">
        <v>7</v>
      </c>
      <c r="C151">
        <v>73</v>
      </c>
      <c r="D151">
        <v>97</v>
      </c>
      <c r="E151">
        <v>5</v>
      </c>
      <c r="F151">
        <v>1</v>
      </c>
    </row>
    <row r="152" spans="1:6" x14ac:dyDescent="0.25">
      <c r="A152" s="1">
        <v>45688</v>
      </c>
      <c r="B152" t="s">
        <v>7</v>
      </c>
      <c r="C152">
        <v>61</v>
      </c>
      <c r="D152">
        <v>93</v>
      </c>
      <c r="E152">
        <v>5</v>
      </c>
      <c r="F152">
        <v>1</v>
      </c>
    </row>
    <row r="153" spans="1:6" x14ac:dyDescent="0.25">
      <c r="A153" s="1">
        <v>45689</v>
      </c>
      <c r="B153" t="s">
        <v>7</v>
      </c>
      <c r="C153">
        <v>65</v>
      </c>
      <c r="D153">
        <v>91</v>
      </c>
      <c r="E153">
        <v>5</v>
      </c>
      <c r="F153">
        <v>2</v>
      </c>
    </row>
    <row r="154" spans="1:6" x14ac:dyDescent="0.25">
      <c r="A154" s="1">
        <v>45690</v>
      </c>
      <c r="B154" t="s">
        <v>7</v>
      </c>
      <c r="C154">
        <v>65</v>
      </c>
      <c r="D154">
        <v>113</v>
      </c>
      <c r="E154">
        <v>5</v>
      </c>
      <c r="F154">
        <v>2</v>
      </c>
    </row>
    <row r="155" spans="1:6" x14ac:dyDescent="0.25">
      <c r="A155" s="1">
        <v>45691</v>
      </c>
      <c r="B155" t="s">
        <v>7</v>
      </c>
      <c r="C155">
        <v>65</v>
      </c>
      <c r="D155">
        <v>94</v>
      </c>
      <c r="E155">
        <v>6</v>
      </c>
      <c r="F155">
        <v>2</v>
      </c>
    </row>
    <row r="156" spans="1:6" x14ac:dyDescent="0.25">
      <c r="A156" s="1">
        <v>45692</v>
      </c>
      <c r="B156" t="s">
        <v>7</v>
      </c>
      <c r="C156">
        <v>81</v>
      </c>
      <c r="D156">
        <v>103</v>
      </c>
      <c r="E156">
        <v>6</v>
      </c>
      <c r="F156">
        <v>2</v>
      </c>
    </row>
    <row r="157" spans="1:6" x14ac:dyDescent="0.25">
      <c r="A157" s="1">
        <v>45693</v>
      </c>
      <c r="B157" t="s">
        <v>7</v>
      </c>
      <c r="C157">
        <v>62</v>
      </c>
      <c r="D157">
        <v>111</v>
      </c>
      <c r="E157">
        <v>6</v>
      </c>
      <c r="F157">
        <v>2</v>
      </c>
    </row>
    <row r="158" spans="1:6" x14ac:dyDescent="0.25">
      <c r="A158" s="1">
        <v>45694</v>
      </c>
      <c r="B158" t="s">
        <v>7</v>
      </c>
      <c r="C158">
        <v>51</v>
      </c>
      <c r="D158">
        <v>99</v>
      </c>
      <c r="E158">
        <v>6</v>
      </c>
      <c r="F158">
        <v>2</v>
      </c>
    </row>
    <row r="159" spans="1:6" x14ac:dyDescent="0.25">
      <c r="A159" s="1">
        <v>45695</v>
      </c>
      <c r="B159" t="s">
        <v>7</v>
      </c>
      <c r="C159">
        <v>77</v>
      </c>
      <c r="D159">
        <v>99</v>
      </c>
      <c r="E159">
        <v>6</v>
      </c>
      <c r="F159">
        <v>2</v>
      </c>
    </row>
    <row r="160" spans="1:6" x14ac:dyDescent="0.25">
      <c r="A160" s="1">
        <v>45696</v>
      </c>
      <c r="B160" t="s">
        <v>7</v>
      </c>
      <c r="C160">
        <v>65</v>
      </c>
      <c r="D160">
        <v>108</v>
      </c>
      <c r="E160">
        <v>6</v>
      </c>
      <c r="F160">
        <v>2</v>
      </c>
    </row>
    <row r="161" spans="1:6" x14ac:dyDescent="0.25">
      <c r="A161" s="1">
        <v>45697</v>
      </c>
      <c r="B161" t="s">
        <v>7</v>
      </c>
      <c r="C161">
        <v>69</v>
      </c>
      <c r="D161">
        <v>114</v>
      </c>
      <c r="E161">
        <v>6</v>
      </c>
      <c r="F161">
        <v>2</v>
      </c>
    </row>
    <row r="162" spans="1:6" x14ac:dyDescent="0.25">
      <c r="A162" s="1">
        <v>45698</v>
      </c>
      <c r="B162" t="s">
        <v>7</v>
      </c>
      <c r="C162">
        <v>53</v>
      </c>
      <c r="D162">
        <v>92</v>
      </c>
      <c r="E162">
        <v>7</v>
      </c>
      <c r="F162">
        <v>2</v>
      </c>
    </row>
    <row r="163" spans="1:6" x14ac:dyDescent="0.25">
      <c r="A163" s="1">
        <v>45699</v>
      </c>
      <c r="B163" t="s">
        <v>7</v>
      </c>
      <c r="C163">
        <v>53</v>
      </c>
      <c r="D163">
        <v>89</v>
      </c>
      <c r="E163">
        <v>7</v>
      </c>
      <c r="F163">
        <v>2</v>
      </c>
    </row>
    <row r="164" spans="1:6" x14ac:dyDescent="0.25">
      <c r="A164" s="1">
        <v>45700</v>
      </c>
      <c r="B164" t="s">
        <v>7</v>
      </c>
      <c r="C164">
        <v>73</v>
      </c>
      <c r="D164">
        <v>113</v>
      </c>
      <c r="E164">
        <v>7</v>
      </c>
      <c r="F164">
        <v>2</v>
      </c>
    </row>
    <row r="165" spans="1:6" x14ac:dyDescent="0.25">
      <c r="A165" s="1">
        <v>45701</v>
      </c>
      <c r="B165" t="s">
        <v>7</v>
      </c>
      <c r="C165">
        <v>73</v>
      </c>
      <c r="D165">
        <v>115</v>
      </c>
      <c r="E165">
        <v>7</v>
      </c>
      <c r="F165">
        <v>2</v>
      </c>
    </row>
    <row r="166" spans="1:6" x14ac:dyDescent="0.25">
      <c r="A166" s="1">
        <v>45702</v>
      </c>
      <c r="B166" t="s">
        <v>7</v>
      </c>
      <c r="C166">
        <v>48</v>
      </c>
      <c r="D166">
        <v>83</v>
      </c>
      <c r="E166">
        <v>7</v>
      </c>
      <c r="F166">
        <v>2</v>
      </c>
    </row>
    <row r="167" spans="1:6" x14ac:dyDescent="0.25">
      <c r="A167" s="1">
        <v>45703</v>
      </c>
      <c r="B167" t="s">
        <v>7</v>
      </c>
      <c r="C167">
        <v>80</v>
      </c>
      <c r="D167">
        <v>127</v>
      </c>
      <c r="E167">
        <v>7</v>
      </c>
      <c r="F167">
        <v>2</v>
      </c>
    </row>
    <row r="168" spans="1:6" x14ac:dyDescent="0.25">
      <c r="A168" s="1">
        <v>45704</v>
      </c>
      <c r="B168" t="s">
        <v>7</v>
      </c>
      <c r="C168">
        <v>64</v>
      </c>
      <c r="D168">
        <v>87</v>
      </c>
      <c r="E168">
        <v>7</v>
      </c>
      <c r="F168">
        <v>2</v>
      </c>
    </row>
    <row r="169" spans="1:6" x14ac:dyDescent="0.25">
      <c r="A169" s="1">
        <v>45705</v>
      </c>
      <c r="B169" t="s">
        <v>7</v>
      </c>
      <c r="C169">
        <v>67</v>
      </c>
      <c r="D169">
        <v>104</v>
      </c>
      <c r="E169">
        <v>8</v>
      </c>
      <c r="F169">
        <v>2</v>
      </c>
    </row>
    <row r="170" spans="1:6" x14ac:dyDescent="0.25">
      <c r="A170" s="1">
        <v>45706</v>
      </c>
      <c r="B170" t="s">
        <v>7</v>
      </c>
      <c r="C170">
        <v>62</v>
      </c>
      <c r="D170">
        <v>85</v>
      </c>
      <c r="E170">
        <v>8</v>
      </c>
      <c r="F170">
        <v>2</v>
      </c>
    </row>
    <row r="171" spans="1:6" x14ac:dyDescent="0.25">
      <c r="A171" s="1">
        <v>45707</v>
      </c>
      <c r="B171" t="s">
        <v>7</v>
      </c>
      <c r="C171">
        <v>69</v>
      </c>
      <c r="D171">
        <v>108</v>
      </c>
      <c r="E171">
        <v>8</v>
      </c>
      <c r="F171">
        <v>2</v>
      </c>
    </row>
    <row r="172" spans="1:6" x14ac:dyDescent="0.25">
      <c r="A172" s="1">
        <v>45708</v>
      </c>
      <c r="B172" t="s">
        <v>7</v>
      </c>
      <c r="C172">
        <v>70</v>
      </c>
      <c r="D172">
        <v>102</v>
      </c>
      <c r="E172">
        <v>8</v>
      </c>
      <c r="F172">
        <v>2</v>
      </c>
    </row>
    <row r="173" spans="1:6" x14ac:dyDescent="0.25">
      <c r="A173" s="1">
        <v>45709</v>
      </c>
      <c r="B173" t="s">
        <v>7</v>
      </c>
      <c r="C173">
        <v>81</v>
      </c>
      <c r="D173">
        <v>118</v>
      </c>
      <c r="E173">
        <v>8</v>
      </c>
      <c r="F173">
        <v>2</v>
      </c>
    </row>
    <row r="174" spans="1:6" x14ac:dyDescent="0.25">
      <c r="A174" s="1">
        <v>45710</v>
      </c>
      <c r="B174" t="s">
        <v>7</v>
      </c>
      <c r="C174">
        <v>66</v>
      </c>
      <c r="D174">
        <v>110</v>
      </c>
      <c r="E174">
        <v>8</v>
      </c>
      <c r="F174">
        <v>2</v>
      </c>
    </row>
    <row r="175" spans="1:6" x14ac:dyDescent="0.25">
      <c r="A175" s="1">
        <v>45711</v>
      </c>
      <c r="B175" t="s">
        <v>7</v>
      </c>
      <c r="C175">
        <v>66</v>
      </c>
      <c r="D175">
        <v>103</v>
      </c>
      <c r="E175">
        <v>8</v>
      </c>
      <c r="F175">
        <v>2</v>
      </c>
    </row>
    <row r="176" spans="1:6" x14ac:dyDescent="0.25">
      <c r="A176" s="1">
        <v>45712</v>
      </c>
      <c r="B176" t="s">
        <v>7</v>
      </c>
      <c r="C176">
        <v>69</v>
      </c>
      <c r="D176">
        <v>112</v>
      </c>
      <c r="E176">
        <v>9</v>
      </c>
      <c r="F176">
        <v>2</v>
      </c>
    </row>
    <row r="177" spans="1:6" x14ac:dyDescent="0.25">
      <c r="A177" s="1">
        <v>45713</v>
      </c>
      <c r="B177" t="s">
        <v>7</v>
      </c>
      <c r="C177">
        <v>65</v>
      </c>
      <c r="D177">
        <v>99</v>
      </c>
      <c r="E177">
        <v>9</v>
      </c>
      <c r="F177">
        <v>2</v>
      </c>
    </row>
    <row r="178" spans="1:6" x14ac:dyDescent="0.25">
      <c r="A178" s="1">
        <v>45714</v>
      </c>
      <c r="B178" t="s">
        <v>7</v>
      </c>
      <c r="C178">
        <v>58</v>
      </c>
      <c r="D178">
        <v>102</v>
      </c>
      <c r="E178">
        <v>9</v>
      </c>
      <c r="F178">
        <v>2</v>
      </c>
    </row>
    <row r="179" spans="1:6" x14ac:dyDescent="0.25">
      <c r="A179" s="1">
        <v>45715</v>
      </c>
      <c r="B179" t="s">
        <v>7</v>
      </c>
      <c r="C179">
        <v>77</v>
      </c>
      <c r="D179">
        <v>99</v>
      </c>
      <c r="E179">
        <v>9</v>
      </c>
      <c r="F179">
        <v>2</v>
      </c>
    </row>
    <row r="180" spans="1:6" x14ac:dyDescent="0.25">
      <c r="A180" s="1">
        <v>45716</v>
      </c>
      <c r="B180" t="s">
        <v>7</v>
      </c>
      <c r="C180">
        <v>57</v>
      </c>
      <c r="D180">
        <v>99</v>
      </c>
      <c r="E180">
        <v>9</v>
      </c>
      <c r="F180">
        <v>2</v>
      </c>
    </row>
    <row r="181" spans="1:6" x14ac:dyDescent="0.25">
      <c r="A181" s="1">
        <v>45717</v>
      </c>
      <c r="B181" t="s">
        <v>7</v>
      </c>
      <c r="C181">
        <v>78</v>
      </c>
      <c r="D181">
        <v>102</v>
      </c>
      <c r="E181">
        <v>9</v>
      </c>
      <c r="F181">
        <v>3</v>
      </c>
    </row>
    <row r="182" spans="1:6" x14ac:dyDescent="0.25">
      <c r="A182" s="1">
        <v>45718</v>
      </c>
      <c r="B182" t="s">
        <v>7</v>
      </c>
      <c r="C182">
        <v>78</v>
      </c>
      <c r="D182">
        <v>111</v>
      </c>
      <c r="E182">
        <v>9</v>
      </c>
      <c r="F182">
        <v>3</v>
      </c>
    </row>
    <row r="183" spans="1:6" x14ac:dyDescent="0.25">
      <c r="A183" s="1">
        <v>45719</v>
      </c>
      <c r="B183" t="s">
        <v>7</v>
      </c>
      <c r="C183">
        <v>60</v>
      </c>
      <c r="D183">
        <v>92</v>
      </c>
      <c r="E183">
        <v>10</v>
      </c>
      <c r="F183">
        <v>3</v>
      </c>
    </row>
    <row r="184" spans="1:6" x14ac:dyDescent="0.25">
      <c r="A184" s="1">
        <v>45720</v>
      </c>
      <c r="B184" t="s">
        <v>7</v>
      </c>
      <c r="C184">
        <v>71</v>
      </c>
      <c r="D184">
        <v>107</v>
      </c>
      <c r="E184">
        <v>10</v>
      </c>
      <c r="F184">
        <v>3</v>
      </c>
    </row>
    <row r="185" spans="1:6" x14ac:dyDescent="0.25">
      <c r="A185" s="1">
        <v>45721</v>
      </c>
      <c r="B185" t="s">
        <v>7</v>
      </c>
      <c r="C185">
        <v>75</v>
      </c>
      <c r="D185">
        <v>102</v>
      </c>
      <c r="E185">
        <v>10</v>
      </c>
      <c r="F185">
        <v>3</v>
      </c>
    </row>
    <row r="186" spans="1:6" x14ac:dyDescent="0.25">
      <c r="A186" s="1">
        <v>45722</v>
      </c>
      <c r="B186" t="s">
        <v>7</v>
      </c>
      <c r="C186">
        <v>67</v>
      </c>
      <c r="D186">
        <v>104</v>
      </c>
      <c r="E186">
        <v>10</v>
      </c>
      <c r="F186">
        <v>3</v>
      </c>
    </row>
    <row r="187" spans="1:6" x14ac:dyDescent="0.25">
      <c r="A187" s="1">
        <v>45723</v>
      </c>
      <c r="B187" t="s">
        <v>7</v>
      </c>
      <c r="C187">
        <v>78</v>
      </c>
      <c r="D187">
        <v>102</v>
      </c>
      <c r="E187">
        <v>10</v>
      </c>
      <c r="F187">
        <v>3</v>
      </c>
    </row>
    <row r="188" spans="1:6" x14ac:dyDescent="0.25">
      <c r="A188" s="1">
        <v>45724</v>
      </c>
      <c r="B188" t="s">
        <v>7</v>
      </c>
      <c r="C188">
        <v>54</v>
      </c>
      <c r="D188">
        <v>90</v>
      </c>
      <c r="E188">
        <v>10</v>
      </c>
      <c r="F188">
        <v>3</v>
      </c>
    </row>
    <row r="189" spans="1:6" x14ac:dyDescent="0.25">
      <c r="A189" s="1">
        <v>45725</v>
      </c>
      <c r="B189" t="s">
        <v>7</v>
      </c>
      <c r="C189">
        <v>57</v>
      </c>
      <c r="D189">
        <v>91</v>
      </c>
      <c r="E189">
        <v>10</v>
      </c>
      <c r="F189">
        <v>3</v>
      </c>
    </row>
    <row r="190" spans="1:6" x14ac:dyDescent="0.25">
      <c r="A190" s="1">
        <v>45726</v>
      </c>
      <c r="B190" t="s">
        <v>7</v>
      </c>
      <c r="C190">
        <v>75</v>
      </c>
      <c r="D190">
        <v>105</v>
      </c>
      <c r="E190">
        <v>11</v>
      </c>
      <c r="F190">
        <v>3</v>
      </c>
    </row>
    <row r="191" spans="1:6" x14ac:dyDescent="0.25">
      <c r="A191" s="1">
        <v>45727</v>
      </c>
      <c r="B191" t="s">
        <v>7</v>
      </c>
      <c r="C191">
        <v>60</v>
      </c>
      <c r="D191">
        <v>107</v>
      </c>
      <c r="E191">
        <v>11</v>
      </c>
      <c r="F191">
        <v>3</v>
      </c>
    </row>
    <row r="192" spans="1:6" x14ac:dyDescent="0.25">
      <c r="A192" s="1">
        <v>45728</v>
      </c>
      <c r="B192" t="s">
        <v>7</v>
      </c>
      <c r="C192">
        <v>71</v>
      </c>
      <c r="D192">
        <v>109</v>
      </c>
      <c r="E192">
        <v>11</v>
      </c>
      <c r="F192">
        <v>3</v>
      </c>
    </row>
    <row r="193" spans="1:6" x14ac:dyDescent="0.25">
      <c r="A193" s="1">
        <v>45729</v>
      </c>
      <c r="B193" t="s">
        <v>7</v>
      </c>
      <c r="C193">
        <v>81</v>
      </c>
      <c r="D193">
        <v>106</v>
      </c>
      <c r="E193">
        <v>11</v>
      </c>
      <c r="F193">
        <v>3</v>
      </c>
    </row>
    <row r="194" spans="1:6" x14ac:dyDescent="0.25">
      <c r="A194" s="1">
        <v>45730</v>
      </c>
      <c r="B194" t="s">
        <v>7</v>
      </c>
      <c r="C194">
        <v>67</v>
      </c>
      <c r="D194">
        <v>116</v>
      </c>
      <c r="E194">
        <v>11</v>
      </c>
      <c r="F194">
        <v>3</v>
      </c>
    </row>
    <row r="195" spans="1:6" x14ac:dyDescent="0.25">
      <c r="A195" s="1">
        <v>45731</v>
      </c>
      <c r="B195" t="s">
        <v>7</v>
      </c>
      <c r="C195">
        <v>71</v>
      </c>
      <c r="D195">
        <v>95</v>
      </c>
      <c r="E195">
        <v>11</v>
      </c>
      <c r="F195">
        <v>3</v>
      </c>
    </row>
    <row r="196" spans="1:6" x14ac:dyDescent="0.25">
      <c r="A196" s="1">
        <v>45732</v>
      </c>
      <c r="B196" t="s">
        <v>7</v>
      </c>
      <c r="C196">
        <v>76</v>
      </c>
      <c r="D196">
        <v>112</v>
      </c>
      <c r="E196">
        <v>11</v>
      </c>
      <c r="F196">
        <v>3</v>
      </c>
    </row>
    <row r="197" spans="1:6" x14ac:dyDescent="0.25">
      <c r="A197" s="1">
        <v>45733</v>
      </c>
      <c r="B197" t="s">
        <v>7</v>
      </c>
      <c r="C197">
        <v>68</v>
      </c>
      <c r="D197">
        <v>111</v>
      </c>
      <c r="E197">
        <v>12</v>
      </c>
      <c r="F197">
        <v>3</v>
      </c>
    </row>
    <row r="198" spans="1:6" x14ac:dyDescent="0.25">
      <c r="A198" s="1">
        <v>45734</v>
      </c>
      <c r="B198" t="s">
        <v>7</v>
      </c>
      <c r="C198">
        <v>64</v>
      </c>
      <c r="D198">
        <v>94</v>
      </c>
      <c r="E198">
        <v>12</v>
      </c>
      <c r="F198">
        <v>3</v>
      </c>
    </row>
    <row r="199" spans="1:6" x14ac:dyDescent="0.25">
      <c r="A199" s="1">
        <v>45735</v>
      </c>
      <c r="B199" t="s">
        <v>7</v>
      </c>
      <c r="C199">
        <v>61</v>
      </c>
      <c r="D199">
        <v>105</v>
      </c>
      <c r="E199">
        <v>12</v>
      </c>
      <c r="F199">
        <v>3</v>
      </c>
    </row>
    <row r="200" spans="1:6" x14ac:dyDescent="0.25">
      <c r="A200" s="1">
        <v>45736</v>
      </c>
      <c r="B200" t="s">
        <v>7</v>
      </c>
      <c r="C200">
        <v>67</v>
      </c>
      <c r="D200">
        <v>97</v>
      </c>
      <c r="E200">
        <v>12</v>
      </c>
      <c r="F200">
        <v>3</v>
      </c>
    </row>
    <row r="201" spans="1:6" x14ac:dyDescent="0.25">
      <c r="A201" s="1">
        <v>45737</v>
      </c>
      <c r="B201" t="s">
        <v>7</v>
      </c>
      <c r="C201">
        <v>58</v>
      </c>
      <c r="D201">
        <v>85</v>
      </c>
      <c r="E201">
        <v>12</v>
      </c>
      <c r="F201">
        <v>3</v>
      </c>
    </row>
    <row r="202" spans="1:6" x14ac:dyDescent="0.25">
      <c r="A202" s="1">
        <v>45738</v>
      </c>
      <c r="B202" t="s">
        <v>7</v>
      </c>
      <c r="C202">
        <v>73</v>
      </c>
      <c r="D202">
        <v>95</v>
      </c>
      <c r="E202">
        <v>12</v>
      </c>
      <c r="F202">
        <v>3</v>
      </c>
    </row>
    <row r="203" spans="1:6" x14ac:dyDescent="0.25">
      <c r="A203" s="1">
        <v>45739</v>
      </c>
      <c r="B203" t="s">
        <v>7</v>
      </c>
      <c r="C203">
        <v>70</v>
      </c>
      <c r="D203">
        <v>110</v>
      </c>
      <c r="E203">
        <v>12</v>
      </c>
      <c r="F203">
        <v>3</v>
      </c>
    </row>
    <row r="204" spans="1:6" x14ac:dyDescent="0.25">
      <c r="A204" s="1">
        <v>45740</v>
      </c>
      <c r="B204" t="s">
        <v>7</v>
      </c>
      <c r="C204">
        <v>59</v>
      </c>
      <c r="D204">
        <v>107</v>
      </c>
      <c r="E204">
        <v>13</v>
      </c>
      <c r="F204">
        <v>3</v>
      </c>
    </row>
    <row r="205" spans="1:6" x14ac:dyDescent="0.25">
      <c r="A205" s="1">
        <v>45741</v>
      </c>
      <c r="B205" t="s">
        <v>7</v>
      </c>
      <c r="C205">
        <v>69</v>
      </c>
      <c r="D205">
        <v>102</v>
      </c>
      <c r="E205">
        <v>13</v>
      </c>
      <c r="F205">
        <v>3</v>
      </c>
    </row>
    <row r="206" spans="1:6" x14ac:dyDescent="0.25">
      <c r="A206" s="1">
        <v>45742</v>
      </c>
      <c r="B206" t="s">
        <v>7</v>
      </c>
      <c r="C206">
        <v>65</v>
      </c>
      <c r="D206">
        <v>97</v>
      </c>
      <c r="E206">
        <v>13</v>
      </c>
      <c r="F206">
        <v>3</v>
      </c>
    </row>
    <row r="207" spans="1:6" x14ac:dyDescent="0.25">
      <c r="A207" s="1">
        <v>45743</v>
      </c>
      <c r="B207" t="s">
        <v>7</v>
      </c>
      <c r="C207">
        <v>64</v>
      </c>
      <c r="D207">
        <v>98</v>
      </c>
      <c r="E207">
        <v>13</v>
      </c>
      <c r="F207">
        <v>3</v>
      </c>
    </row>
    <row r="208" spans="1:6" x14ac:dyDescent="0.25">
      <c r="A208" s="1">
        <v>45744</v>
      </c>
      <c r="B208" t="s">
        <v>7</v>
      </c>
      <c r="C208">
        <v>71</v>
      </c>
      <c r="D208">
        <v>120</v>
      </c>
      <c r="E208">
        <v>13</v>
      </c>
      <c r="F208">
        <v>3</v>
      </c>
    </row>
    <row r="209" spans="1:6" x14ac:dyDescent="0.25">
      <c r="A209" s="1">
        <v>45745</v>
      </c>
      <c r="B209" t="s">
        <v>7</v>
      </c>
      <c r="C209">
        <v>58</v>
      </c>
      <c r="D209">
        <v>94</v>
      </c>
      <c r="E209">
        <v>13</v>
      </c>
      <c r="F209">
        <v>3</v>
      </c>
    </row>
    <row r="210" spans="1:6" x14ac:dyDescent="0.25">
      <c r="A210" s="1">
        <v>45746</v>
      </c>
      <c r="B210" t="s">
        <v>7</v>
      </c>
      <c r="C210">
        <v>62</v>
      </c>
      <c r="D210">
        <v>98</v>
      </c>
      <c r="E210">
        <v>13</v>
      </c>
      <c r="F210">
        <v>3</v>
      </c>
    </row>
    <row r="211" spans="1:6" x14ac:dyDescent="0.25">
      <c r="A211" s="1">
        <v>45747</v>
      </c>
      <c r="B211" t="s">
        <v>7</v>
      </c>
      <c r="C211">
        <v>69</v>
      </c>
      <c r="D211">
        <v>102</v>
      </c>
      <c r="E211">
        <v>14</v>
      </c>
      <c r="F211">
        <v>3</v>
      </c>
    </row>
    <row r="212" spans="1:6" x14ac:dyDescent="0.25">
      <c r="A212" s="1">
        <v>45748</v>
      </c>
      <c r="B212" t="s">
        <v>7</v>
      </c>
      <c r="C212">
        <v>71</v>
      </c>
      <c r="D212">
        <v>114</v>
      </c>
      <c r="E212">
        <v>14</v>
      </c>
      <c r="F212">
        <v>4</v>
      </c>
    </row>
    <row r="213" spans="1:6" x14ac:dyDescent="0.25">
      <c r="A213" s="1">
        <v>45749</v>
      </c>
      <c r="B213" t="s">
        <v>7</v>
      </c>
      <c r="C213">
        <v>73</v>
      </c>
      <c r="D213">
        <v>119</v>
      </c>
      <c r="E213">
        <v>14</v>
      </c>
      <c r="F213">
        <v>4</v>
      </c>
    </row>
    <row r="214" spans="1:6" x14ac:dyDescent="0.25">
      <c r="A214" s="1">
        <v>45750</v>
      </c>
      <c r="B214" t="s">
        <v>7</v>
      </c>
      <c r="C214">
        <v>62</v>
      </c>
      <c r="D214">
        <v>96</v>
      </c>
      <c r="E214">
        <v>14</v>
      </c>
      <c r="F214">
        <v>4</v>
      </c>
    </row>
    <row r="215" spans="1:6" x14ac:dyDescent="0.25">
      <c r="A215" s="1">
        <v>45751</v>
      </c>
      <c r="B215" t="s">
        <v>7</v>
      </c>
      <c r="C215">
        <v>78</v>
      </c>
      <c r="D215">
        <v>125</v>
      </c>
      <c r="E215">
        <v>14</v>
      </c>
      <c r="F215">
        <v>4</v>
      </c>
    </row>
    <row r="216" spans="1:6" x14ac:dyDescent="0.25">
      <c r="A216" s="1">
        <v>45752</v>
      </c>
      <c r="B216" t="s">
        <v>7</v>
      </c>
      <c r="C216">
        <v>56</v>
      </c>
      <c r="D216">
        <v>78</v>
      </c>
      <c r="E216">
        <v>14</v>
      </c>
      <c r="F216">
        <v>4</v>
      </c>
    </row>
    <row r="217" spans="1:6" x14ac:dyDescent="0.25">
      <c r="A217" s="1">
        <v>45753</v>
      </c>
      <c r="B217" t="s">
        <v>7</v>
      </c>
      <c r="C217">
        <v>65</v>
      </c>
      <c r="D217">
        <v>107</v>
      </c>
      <c r="E217">
        <v>14</v>
      </c>
      <c r="F217">
        <v>4</v>
      </c>
    </row>
    <row r="218" spans="1:6" x14ac:dyDescent="0.25">
      <c r="A218" s="1">
        <v>45754</v>
      </c>
      <c r="B218" t="s">
        <v>7</v>
      </c>
      <c r="C218">
        <v>65</v>
      </c>
      <c r="D218">
        <v>109</v>
      </c>
      <c r="E218">
        <v>15</v>
      </c>
      <c r="F218">
        <v>4</v>
      </c>
    </row>
    <row r="219" spans="1:6" x14ac:dyDescent="0.25">
      <c r="A219" s="1">
        <v>45755</v>
      </c>
      <c r="B219" t="s">
        <v>7</v>
      </c>
      <c r="C219">
        <v>77</v>
      </c>
      <c r="D219">
        <v>126</v>
      </c>
      <c r="E219">
        <v>15</v>
      </c>
      <c r="F219">
        <v>4</v>
      </c>
    </row>
    <row r="220" spans="1:6" x14ac:dyDescent="0.25">
      <c r="A220" s="1">
        <v>45756</v>
      </c>
      <c r="B220" t="s">
        <v>7</v>
      </c>
      <c r="C220">
        <v>57</v>
      </c>
      <c r="D220">
        <v>96</v>
      </c>
      <c r="E220">
        <v>15</v>
      </c>
      <c r="F220">
        <v>4</v>
      </c>
    </row>
    <row r="221" spans="1:6" x14ac:dyDescent="0.25">
      <c r="A221" s="1">
        <v>45757</v>
      </c>
      <c r="B221" t="s">
        <v>7</v>
      </c>
      <c r="C221">
        <v>67</v>
      </c>
      <c r="D221">
        <v>95</v>
      </c>
      <c r="E221">
        <v>15</v>
      </c>
      <c r="F221">
        <v>4</v>
      </c>
    </row>
    <row r="222" spans="1:6" x14ac:dyDescent="0.25">
      <c r="A222" s="1">
        <v>45758</v>
      </c>
      <c r="B222" t="s">
        <v>7</v>
      </c>
      <c r="C222">
        <v>68</v>
      </c>
      <c r="D222">
        <v>102</v>
      </c>
      <c r="E222">
        <v>15</v>
      </c>
      <c r="F222">
        <v>4</v>
      </c>
    </row>
    <row r="223" spans="1:6" x14ac:dyDescent="0.25">
      <c r="A223" s="1">
        <v>45759</v>
      </c>
      <c r="B223" t="s">
        <v>7</v>
      </c>
      <c r="C223">
        <v>74</v>
      </c>
      <c r="D223">
        <v>101</v>
      </c>
      <c r="E223">
        <v>15</v>
      </c>
      <c r="F223">
        <v>4</v>
      </c>
    </row>
    <row r="224" spans="1:6" x14ac:dyDescent="0.25">
      <c r="A224" s="1">
        <v>45760</v>
      </c>
      <c r="B224" t="s">
        <v>7</v>
      </c>
      <c r="C224">
        <v>66</v>
      </c>
      <c r="D224">
        <v>94</v>
      </c>
      <c r="E224">
        <v>15</v>
      </c>
      <c r="F224">
        <v>4</v>
      </c>
    </row>
    <row r="225" spans="1:6" x14ac:dyDescent="0.25">
      <c r="A225" s="1">
        <v>45761</v>
      </c>
      <c r="B225" t="s">
        <v>7</v>
      </c>
      <c r="C225">
        <v>64</v>
      </c>
      <c r="D225">
        <v>85</v>
      </c>
      <c r="E225">
        <v>16</v>
      </c>
      <c r="F225">
        <v>4</v>
      </c>
    </row>
    <row r="226" spans="1:6" x14ac:dyDescent="0.25">
      <c r="A226" s="1">
        <v>45762</v>
      </c>
      <c r="B226" t="s">
        <v>7</v>
      </c>
      <c r="C226">
        <v>61</v>
      </c>
      <c r="D226">
        <v>86</v>
      </c>
      <c r="E226">
        <v>16</v>
      </c>
      <c r="F226">
        <v>4</v>
      </c>
    </row>
    <row r="227" spans="1:6" x14ac:dyDescent="0.25">
      <c r="A227" s="1">
        <v>45763</v>
      </c>
      <c r="B227" t="s">
        <v>7</v>
      </c>
      <c r="C227">
        <v>70</v>
      </c>
      <c r="D227">
        <v>111</v>
      </c>
      <c r="E227">
        <v>16</v>
      </c>
      <c r="F227">
        <v>4</v>
      </c>
    </row>
    <row r="228" spans="1:6" x14ac:dyDescent="0.25">
      <c r="A228" s="1">
        <v>45764</v>
      </c>
      <c r="B228" t="s">
        <v>7</v>
      </c>
      <c r="C228">
        <v>61</v>
      </c>
      <c r="D228">
        <v>96</v>
      </c>
      <c r="E228">
        <v>16</v>
      </c>
      <c r="F228">
        <v>4</v>
      </c>
    </row>
    <row r="229" spans="1:6" x14ac:dyDescent="0.25">
      <c r="A229" s="1">
        <v>45765</v>
      </c>
      <c r="B229" t="s">
        <v>7</v>
      </c>
      <c r="C229">
        <v>58</v>
      </c>
      <c r="D229">
        <v>107</v>
      </c>
      <c r="E229">
        <v>16</v>
      </c>
      <c r="F229">
        <v>4</v>
      </c>
    </row>
    <row r="230" spans="1:6" x14ac:dyDescent="0.25">
      <c r="A230" s="1">
        <v>45766</v>
      </c>
      <c r="B230" t="s">
        <v>7</v>
      </c>
      <c r="C230">
        <v>76</v>
      </c>
      <c r="D230">
        <v>104</v>
      </c>
      <c r="E230">
        <v>16</v>
      </c>
      <c r="F230">
        <v>4</v>
      </c>
    </row>
    <row r="231" spans="1:6" x14ac:dyDescent="0.25">
      <c r="A231" s="1">
        <v>45767</v>
      </c>
      <c r="B231" t="s">
        <v>7</v>
      </c>
      <c r="C231">
        <v>54</v>
      </c>
      <c r="D231">
        <v>81</v>
      </c>
      <c r="E231">
        <v>16</v>
      </c>
      <c r="F231">
        <v>4</v>
      </c>
    </row>
    <row r="232" spans="1:6" x14ac:dyDescent="0.25">
      <c r="A232" s="1">
        <v>45768</v>
      </c>
      <c r="B232" t="s">
        <v>7</v>
      </c>
      <c r="C232">
        <v>80</v>
      </c>
      <c r="D232">
        <v>110</v>
      </c>
      <c r="E232">
        <v>17</v>
      </c>
      <c r="F232">
        <v>4</v>
      </c>
    </row>
    <row r="233" spans="1:6" x14ac:dyDescent="0.25">
      <c r="A233" s="1">
        <v>45769</v>
      </c>
      <c r="B233" t="s">
        <v>7</v>
      </c>
      <c r="C233">
        <v>62</v>
      </c>
      <c r="D233">
        <v>100</v>
      </c>
      <c r="E233">
        <v>17</v>
      </c>
      <c r="F233">
        <v>4</v>
      </c>
    </row>
    <row r="234" spans="1:6" x14ac:dyDescent="0.25">
      <c r="A234" s="1">
        <v>45770</v>
      </c>
      <c r="B234" t="s">
        <v>7</v>
      </c>
      <c r="C234">
        <v>77</v>
      </c>
      <c r="D234">
        <v>107</v>
      </c>
      <c r="E234">
        <v>17</v>
      </c>
      <c r="F234">
        <v>4</v>
      </c>
    </row>
    <row r="235" spans="1:6" x14ac:dyDescent="0.25">
      <c r="A235" s="1">
        <v>45771</v>
      </c>
      <c r="B235" t="s">
        <v>7</v>
      </c>
      <c r="C235">
        <v>70</v>
      </c>
      <c r="D235">
        <v>101</v>
      </c>
      <c r="E235">
        <v>17</v>
      </c>
      <c r="F235">
        <v>4</v>
      </c>
    </row>
    <row r="236" spans="1:6" x14ac:dyDescent="0.25">
      <c r="A236" s="1">
        <v>45772</v>
      </c>
      <c r="B236" t="s">
        <v>7</v>
      </c>
      <c r="C236">
        <v>73</v>
      </c>
      <c r="D236">
        <v>112</v>
      </c>
      <c r="E236">
        <v>17</v>
      </c>
      <c r="F236">
        <v>4</v>
      </c>
    </row>
    <row r="237" spans="1:6" x14ac:dyDescent="0.25">
      <c r="A237" s="1">
        <v>45773</v>
      </c>
      <c r="B237" t="s">
        <v>7</v>
      </c>
      <c r="C237">
        <v>61</v>
      </c>
      <c r="D237">
        <v>106</v>
      </c>
      <c r="E237">
        <v>17</v>
      </c>
      <c r="F237">
        <v>4</v>
      </c>
    </row>
    <row r="238" spans="1:6" x14ac:dyDescent="0.25">
      <c r="A238" s="1">
        <v>45774</v>
      </c>
      <c r="B238" t="s">
        <v>7</v>
      </c>
      <c r="C238">
        <v>75</v>
      </c>
      <c r="D238">
        <v>124</v>
      </c>
      <c r="E238">
        <v>17</v>
      </c>
      <c r="F238">
        <v>4</v>
      </c>
    </row>
    <row r="239" spans="1:6" x14ac:dyDescent="0.25">
      <c r="A239" s="1">
        <v>45775</v>
      </c>
      <c r="B239" t="s">
        <v>7</v>
      </c>
      <c r="C239">
        <v>58</v>
      </c>
      <c r="D239">
        <v>88</v>
      </c>
      <c r="E239">
        <v>18</v>
      </c>
      <c r="F239">
        <v>4</v>
      </c>
    </row>
    <row r="240" spans="1:6" x14ac:dyDescent="0.25">
      <c r="A240" s="1">
        <v>45776</v>
      </c>
      <c r="B240" t="s">
        <v>7</v>
      </c>
      <c r="C240">
        <v>70</v>
      </c>
      <c r="D240">
        <v>113</v>
      </c>
      <c r="E240">
        <v>18</v>
      </c>
      <c r="F240">
        <v>4</v>
      </c>
    </row>
    <row r="241" spans="1:6" x14ac:dyDescent="0.25">
      <c r="A241" s="1">
        <v>45777</v>
      </c>
      <c r="B241" t="s">
        <v>7</v>
      </c>
      <c r="C241">
        <v>57</v>
      </c>
      <c r="D241">
        <v>88</v>
      </c>
      <c r="E241">
        <v>18</v>
      </c>
      <c r="F241">
        <v>4</v>
      </c>
    </row>
    <row r="242" spans="1:6" x14ac:dyDescent="0.25">
      <c r="A242" s="1">
        <v>45658</v>
      </c>
      <c r="B242" t="s">
        <v>8</v>
      </c>
      <c r="C242">
        <v>47</v>
      </c>
      <c r="D242">
        <v>67</v>
      </c>
      <c r="E242">
        <v>1</v>
      </c>
      <c r="F242">
        <v>1</v>
      </c>
    </row>
    <row r="243" spans="1:6" x14ac:dyDescent="0.25">
      <c r="A243" s="1">
        <v>45659</v>
      </c>
      <c r="B243" t="s">
        <v>8</v>
      </c>
      <c r="C243">
        <v>42</v>
      </c>
      <c r="D243">
        <v>70</v>
      </c>
      <c r="E243">
        <v>1</v>
      </c>
      <c r="F243">
        <v>1</v>
      </c>
    </row>
    <row r="244" spans="1:6" x14ac:dyDescent="0.25">
      <c r="A244" s="1">
        <v>45660</v>
      </c>
      <c r="B244" t="s">
        <v>8</v>
      </c>
      <c r="C244">
        <v>53</v>
      </c>
      <c r="D244">
        <v>95</v>
      </c>
      <c r="E244">
        <v>1</v>
      </c>
      <c r="F244">
        <v>1</v>
      </c>
    </row>
    <row r="245" spans="1:6" x14ac:dyDescent="0.25">
      <c r="A245" s="1">
        <v>45661</v>
      </c>
      <c r="B245" t="s">
        <v>8</v>
      </c>
      <c r="C245">
        <v>58</v>
      </c>
      <c r="D245">
        <v>82</v>
      </c>
      <c r="E245">
        <v>1</v>
      </c>
      <c r="F245">
        <v>1</v>
      </c>
    </row>
    <row r="246" spans="1:6" x14ac:dyDescent="0.25">
      <c r="A246" s="1">
        <v>45662</v>
      </c>
      <c r="B246" t="s">
        <v>8</v>
      </c>
      <c r="C246">
        <v>41</v>
      </c>
      <c r="D246">
        <v>69</v>
      </c>
      <c r="E246">
        <v>1</v>
      </c>
      <c r="F246">
        <v>1</v>
      </c>
    </row>
    <row r="247" spans="1:6" x14ac:dyDescent="0.25">
      <c r="A247" s="1">
        <v>45663</v>
      </c>
      <c r="B247" t="s">
        <v>8</v>
      </c>
      <c r="C247">
        <v>44</v>
      </c>
      <c r="D247">
        <v>64</v>
      </c>
      <c r="E247">
        <v>2</v>
      </c>
      <c r="F247">
        <v>1</v>
      </c>
    </row>
    <row r="248" spans="1:6" x14ac:dyDescent="0.25">
      <c r="A248" s="1">
        <v>45664</v>
      </c>
      <c r="B248" t="s">
        <v>8</v>
      </c>
      <c r="C248">
        <v>56</v>
      </c>
      <c r="D248">
        <v>104</v>
      </c>
      <c r="E248">
        <v>2</v>
      </c>
      <c r="F248">
        <v>1</v>
      </c>
    </row>
    <row r="249" spans="1:6" x14ac:dyDescent="0.25">
      <c r="A249" s="1">
        <v>45665</v>
      </c>
      <c r="B249" t="s">
        <v>8</v>
      </c>
      <c r="C249">
        <v>42</v>
      </c>
      <c r="D249">
        <v>75</v>
      </c>
      <c r="E249">
        <v>2</v>
      </c>
      <c r="F249">
        <v>1</v>
      </c>
    </row>
    <row r="250" spans="1:6" x14ac:dyDescent="0.25">
      <c r="A250" s="1">
        <v>45666</v>
      </c>
      <c r="B250" t="s">
        <v>8</v>
      </c>
      <c r="C250">
        <v>44</v>
      </c>
      <c r="D250">
        <v>77</v>
      </c>
      <c r="E250">
        <v>2</v>
      </c>
      <c r="F250">
        <v>1</v>
      </c>
    </row>
    <row r="251" spans="1:6" x14ac:dyDescent="0.25">
      <c r="A251" s="1">
        <v>45667</v>
      </c>
      <c r="B251" t="s">
        <v>8</v>
      </c>
      <c r="C251">
        <v>51</v>
      </c>
      <c r="D251">
        <v>83</v>
      </c>
      <c r="E251">
        <v>2</v>
      </c>
      <c r="F251">
        <v>1</v>
      </c>
    </row>
    <row r="252" spans="1:6" x14ac:dyDescent="0.25">
      <c r="A252" s="1">
        <v>45668</v>
      </c>
      <c r="B252" t="s">
        <v>8</v>
      </c>
      <c r="C252">
        <v>53</v>
      </c>
      <c r="D252">
        <v>80</v>
      </c>
      <c r="E252">
        <v>2</v>
      </c>
      <c r="F252">
        <v>1</v>
      </c>
    </row>
    <row r="253" spans="1:6" x14ac:dyDescent="0.25">
      <c r="A253" s="1">
        <v>45669</v>
      </c>
      <c r="B253" t="s">
        <v>8</v>
      </c>
      <c r="C253">
        <v>50</v>
      </c>
      <c r="D253">
        <v>88</v>
      </c>
      <c r="E253">
        <v>2</v>
      </c>
      <c r="F253">
        <v>1</v>
      </c>
    </row>
    <row r="254" spans="1:6" x14ac:dyDescent="0.25">
      <c r="A254" s="1">
        <v>45670</v>
      </c>
      <c r="B254" t="s">
        <v>8</v>
      </c>
      <c r="C254">
        <v>54</v>
      </c>
      <c r="D254">
        <v>88</v>
      </c>
      <c r="E254">
        <v>3</v>
      </c>
      <c r="F254">
        <v>1</v>
      </c>
    </row>
    <row r="255" spans="1:6" x14ac:dyDescent="0.25">
      <c r="A255" s="1">
        <v>45671</v>
      </c>
      <c r="B255" t="s">
        <v>8</v>
      </c>
      <c r="C255">
        <v>53</v>
      </c>
      <c r="D255">
        <v>87</v>
      </c>
      <c r="E255">
        <v>3</v>
      </c>
      <c r="F255">
        <v>1</v>
      </c>
    </row>
    <row r="256" spans="1:6" x14ac:dyDescent="0.25">
      <c r="A256" s="1">
        <v>45672</v>
      </c>
      <c r="B256" t="s">
        <v>8</v>
      </c>
      <c r="C256">
        <v>48</v>
      </c>
      <c r="D256">
        <v>75</v>
      </c>
      <c r="E256">
        <v>3</v>
      </c>
      <c r="F256">
        <v>1</v>
      </c>
    </row>
    <row r="257" spans="1:6" x14ac:dyDescent="0.25">
      <c r="A257" s="1">
        <v>45673</v>
      </c>
      <c r="B257" t="s">
        <v>8</v>
      </c>
      <c r="C257">
        <v>45</v>
      </c>
      <c r="D257">
        <v>70</v>
      </c>
      <c r="E257">
        <v>3</v>
      </c>
      <c r="F257">
        <v>1</v>
      </c>
    </row>
    <row r="258" spans="1:6" x14ac:dyDescent="0.25">
      <c r="A258" s="1">
        <v>45674</v>
      </c>
      <c r="B258" t="s">
        <v>8</v>
      </c>
      <c r="C258">
        <v>65</v>
      </c>
      <c r="D258">
        <v>92</v>
      </c>
      <c r="E258">
        <v>3</v>
      </c>
      <c r="F258">
        <v>1</v>
      </c>
    </row>
    <row r="259" spans="1:6" x14ac:dyDescent="0.25">
      <c r="A259" s="1">
        <v>45675</v>
      </c>
      <c r="B259" t="s">
        <v>8</v>
      </c>
      <c r="C259">
        <v>55</v>
      </c>
      <c r="D259">
        <v>89</v>
      </c>
      <c r="E259">
        <v>3</v>
      </c>
      <c r="F259">
        <v>1</v>
      </c>
    </row>
    <row r="260" spans="1:6" x14ac:dyDescent="0.25">
      <c r="A260" s="1">
        <v>45676</v>
      </c>
      <c r="B260" t="s">
        <v>8</v>
      </c>
      <c r="C260">
        <v>53</v>
      </c>
      <c r="D260">
        <v>79</v>
      </c>
      <c r="E260">
        <v>3</v>
      </c>
      <c r="F260">
        <v>1</v>
      </c>
    </row>
    <row r="261" spans="1:6" x14ac:dyDescent="0.25">
      <c r="A261" s="1">
        <v>45677</v>
      </c>
      <c r="B261" t="s">
        <v>8</v>
      </c>
      <c r="C261">
        <v>57</v>
      </c>
      <c r="D261">
        <v>103</v>
      </c>
      <c r="E261">
        <v>4</v>
      </c>
      <c r="F261">
        <v>1</v>
      </c>
    </row>
    <row r="262" spans="1:6" x14ac:dyDescent="0.25">
      <c r="A262" s="1">
        <v>45678</v>
      </c>
      <c r="B262" t="s">
        <v>8</v>
      </c>
      <c r="C262">
        <v>56</v>
      </c>
      <c r="D262">
        <v>97</v>
      </c>
      <c r="E262">
        <v>4</v>
      </c>
      <c r="F262">
        <v>1</v>
      </c>
    </row>
    <row r="263" spans="1:6" x14ac:dyDescent="0.25">
      <c r="A263" s="1">
        <v>45679</v>
      </c>
      <c r="B263" t="s">
        <v>8</v>
      </c>
      <c r="C263">
        <v>56</v>
      </c>
      <c r="D263">
        <v>85</v>
      </c>
      <c r="E263">
        <v>4</v>
      </c>
      <c r="F263">
        <v>1</v>
      </c>
    </row>
    <row r="264" spans="1:6" x14ac:dyDescent="0.25">
      <c r="A264" s="1">
        <v>45680</v>
      </c>
      <c r="B264" t="s">
        <v>8</v>
      </c>
      <c r="C264">
        <v>48</v>
      </c>
      <c r="D264">
        <v>82</v>
      </c>
      <c r="E264">
        <v>4</v>
      </c>
      <c r="F264">
        <v>1</v>
      </c>
    </row>
    <row r="265" spans="1:6" x14ac:dyDescent="0.25">
      <c r="A265" s="1">
        <v>45681</v>
      </c>
      <c r="B265" t="s">
        <v>8</v>
      </c>
      <c r="C265">
        <v>59</v>
      </c>
      <c r="D265">
        <v>102</v>
      </c>
      <c r="E265">
        <v>4</v>
      </c>
      <c r="F265">
        <v>1</v>
      </c>
    </row>
    <row r="266" spans="1:6" x14ac:dyDescent="0.25">
      <c r="A266" s="1">
        <v>45682</v>
      </c>
      <c r="B266" t="s">
        <v>8</v>
      </c>
      <c r="C266">
        <v>51</v>
      </c>
      <c r="D266">
        <v>99</v>
      </c>
      <c r="E266">
        <v>4</v>
      </c>
      <c r="F266">
        <v>1</v>
      </c>
    </row>
    <row r="267" spans="1:6" x14ac:dyDescent="0.25">
      <c r="A267" s="1">
        <v>45683</v>
      </c>
      <c r="B267" t="s">
        <v>8</v>
      </c>
      <c r="C267">
        <v>45</v>
      </c>
      <c r="D267">
        <v>66</v>
      </c>
      <c r="E267">
        <v>4</v>
      </c>
      <c r="F267">
        <v>1</v>
      </c>
    </row>
    <row r="268" spans="1:6" x14ac:dyDescent="0.25">
      <c r="A268" s="1">
        <v>45684</v>
      </c>
      <c r="B268" t="s">
        <v>8</v>
      </c>
      <c r="C268">
        <v>52</v>
      </c>
      <c r="D268">
        <v>98</v>
      </c>
      <c r="E268">
        <v>5</v>
      </c>
      <c r="F268">
        <v>1</v>
      </c>
    </row>
    <row r="269" spans="1:6" x14ac:dyDescent="0.25">
      <c r="A269" s="1">
        <v>45685</v>
      </c>
      <c r="B269" t="s">
        <v>8</v>
      </c>
      <c r="C269">
        <v>48</v>
      </c>
      <c r="D269">
        <v>77</v>
      </c>
      <c r="E269">
        <v>5</v>
      </c>
      <c r="F269">
        <v>1</v>
      </c>
    </row>
    <row r="270" spans="1:6" x14ac:dyDescent="0.25">
      <c r="A270" s="1">
        <v>45686</v>
      </c>
      <c r="B270" t="s">
        <v>8</v>
      </c>
      <c r="C270">
        <v>48</v>
      </c>
      <c r="D270">
        <v>90</v>
      </c>
      <c r="E270">
        <v>5</v>
      </c>
      <c r="F270">
        <v>1</v>
      </c>
    </row>
    <row r="271" spans="1:6" x14ac:dyDescent="0.25">
      <c r="A271" s="1">
        <v>45687</v>
      </c>
      <c r="B271" t="s">
        <v>8</v>
      </c>
      <c r="C271">
        <v>50</v>
      </c>
      <c r="D271">
        <v>81</v>
      </c>
      <c r="E271">
        <v>5</v>
      </c>
      <c r="F271">
        <v>1</v>
      </c>
    </row>
    <row r="272" spans="1:6" x14ac:dyDescent="0.25">
      <c r="A272" s="1">
        <v>45688</v>
      </c>
      <c r="B272" t="s">
        <v>8</v>
      </c>
      <c r="C272">
        <v>63</v>
      </c>
      <c r="D272">
        <v>100</v>
      </c>
      <c r="E272">
        <v>5</v>
      </c>
      <c r="F272">
        <v>1</v>
      </c>
    </row>
    <row r="273" spans="1:6" x14ac:dyDescent="0.25">
      <c r="A273" s="1">
        <v>45689</v>
      </c>
      <c r="B273" t="s">
        <v>8</v>
      </c>
      <c r="C273">
        <v>53</v>
      </c>
      <c r="D273">
        <v>100</v>
      </c>
      <c r="E273">
        <v>5</v>
      </c>
      <c r="F273">
        <v>2</v>
      </c>
    </row>
    <row r="274" spans="1:6" x14ac:dyDescent="0.25">
      <c r="A274" s="1">
        <v>45690</v>
      </c>
      <c r="B274" t="s">
        <v>8</v>
      </c>
      <c r="C274">
        <v>53</v>
      </c>
      <c r="D274">
        <v>88</v>
      </c>
      <c r="E274">
        <v>5</v>
      </c>
      <c r="F274">
        <v>2</v>
      </c>
    </row>
    <row r="275" spans="1:6" x14ac:dyDescent="0.25">
      <c r="A275" s="1">
        <v>45691</v>
      </c>
      <c r="B275" t="s">
        <v>8</v>
      </c>
      <c r="C275">
        <v>55</v>
      </c>
      <c r="D275">
        <v>102</v>
      </c>
      <c r="E275">
        <v>6</v>
      </c>
      <c r="F275">
        <v>2</v>
      </c>
    </row>
    <row r="276" spans="1:6" x14ac:dyDescent="0.25">
      <c r="A276" s="1">
        <v>45692</v>
      </c>
      <c r="B276" t="s">
        <v>8</v>
      </c>
      <c r="C276">
        <v>48</v>
      </c>
      <c r="D276">
        <v>86</v>
      </c>
      <c r="E276">
        <v>6</v>
      </c>
      <c r="F276">
        <v>2</v>
      </c>
    </row>
    <row r="277" spans="1:6" x14ac:dyDescent="0.25">
      <c r="A277" s="1">
        <v>45693</v>
      </c>
      <c r="B277" t="s">
        <v>8</v>
      </c>
      <c r="C277">
        <v>64</v>
      </c>
      <c r="D277">
        <v>97</v>
      </c>
      <c r="E277">
        <v>6</v>
      </c>
      <c r="F277">
        <v>2</v>
      </c>
    </row>
    <row r="278" spans="1:6" x14ac:dyDescent="0.25">
      <c r="A278" s="1">
        <v>45694</v>
      </c>
      <c r="B278" t="s">
        <v>8</v>
      </c>
      <c r="C278">
        <v>45</v>
      </c>
      <c r="D278">
        <v>68</v>
      </c>
      <c r="E278">
        <v>6</v>
      </c>
      <c r="F278">
        <v>2</v>
      </c>
    </row>
    <row r="279" spans="1:6" x14ac:dyDescent="0.25">
      <c r="A279" s="1">
        <v>45695</v>
      </c>
      <c r="B279" t="s">
        <v>8</v>
      </c>
      <c r="C279">
        <v>60</v>
      </c>
      <c r="D279">
        <v>87</v>
      </c>
      <c r="E279">
        <v>6</v>
      </c>
      <c r="F279">
        <v>2</v>
      </c>
    </row>
    <row r="280" spans="1:6" x14ac:dyDescent="0.25">
      <c r="A280" s="1">
        <v>45696</v>
      </c>
      <c r="B280" t="s">
        <v>8</v>
      </c>
      <c r="C280">
        <v>53</v>
      </c>
      <c r="D280">
        <v>93</v>
      </c>
      <c r="E280">
        <v>6</v>
      </c>
      <c r="F280">
        <v>2</v>
      </c>
    </row>
    <row r="281" spans="1:6" x14ac:dyDescent="0.25">
      <c r="A281" s="1">
        <v>45697</v>
      </c>
      <c r="B281" t="s">
        <v>8</v>
      </c>
      <c r="C281">
        <v>47</v>
      </c>
      <c r="D281">
        <v>87</v>
      </c>
      <c r="E281">
        <v>6</v>
      </c>
      <c r="F281">
        <v>2</v>
      </c>
    </row>
    <row r="282" spans="1:6" x14ac:dyDescent="0.25">
      <c r="A282" s="1">
        <v>45698</v>
      </c>
      <c r="B282" t="s">
        <v>8</v>
      </c>
      <c r="C282">
        <v>53</v>
      </c>
      <c r="D282">
        <v>92</v>
      </c>
      <c r="E282">
        <v>7</v>
      </c>
      <c r="F282">
        <v>2</v>
      </c>
    </row>
    <row r="283" spans="1:6" x14ac:dyDescent="0.25">
      <c r="A283" s="1">
        <v>45699</v>
      </c>
      <c r="B283" t="s">
        <v>8</v>
      </c>
      <c r="C283">
        <v>52</v>
      </c>
      <c r="D283">
        <v>73</v>
      </c>
      <c r="E283">
        <v>7</v>
      </c>
      <c r="F283">
        <v>2</v>
      </c>
    </row>
    <row r="284" spans="1:6" x14ac:dyDescent="0.25">
      <c r="A284" s="1">
        <v>45700</v>
      </c>
      <c r="B284" t="s">
        <v>8</v>
      </c>
      <c r="C284">
        <v>50</v>
      </c>
      <c r="D284">
        <v>96</v>
      </c>
      <c r="E284">
        <v>7</v>
      </c>
      <c r="F284">
        <v>2</v>
      </c>
    </row>
    <row r="285" spans="1:6" x14ac:dyDescent="0.25">
      <c r="A285" s="1">
        <v>45701</v>
      </c>
      <c r="B285" t="s">
        <v>8</v>
      </c>
      <c r="C285">
        <v>50</v>
      </c>
      <c r="D285">
        <v>81</v>
      </c>
      <c r="E285">
        <v>7</v>
      </c>
      <c r="F285">
        <v>2</v>
      </c>
    </row>
    <row r="286" spans="1:6" x14ac:dyDescent="0.25">
      <c r="A286" s="1">
        <v>45702</v>
      </c>
      <c r="B286" t="s">
        <v>8</v>
      </c>
      <c r="C286">
        <v>63</v>
      </c>
      <c r="D286">
        <v>107</v>
      </c>
      <c r="E286">
        <v>7</v>
      </c>
      <c r="F286">
        <v>2</v>
      </c>
    </row>
    <row r="287" spans="1:6" x14ac:dyDescent="0.25">
      <c r="A287" s="1">
        <v>45703</v>
      </c>
      <c r="B287" t="s">
        <v>8</v>
      </c>
      <c r="C287">
        <v>51</v>
      </c>
      <c r="D287">
        <v>94</v>
      </c>
      <c r="E287">
        <v>7</v>
      </c>
      <c r="F287">
        <v>2</v>
      </c>
    </row>
    <row r="288" spans="1:6" x14ac:dyDescent="0.25">
      <c r="A288" s="1">
        <v>45704</v>
      </c>
      <c r="B288" t="s">
        <v>8</v>
      </c>
      <c r="C288">
        <v>47</v>
      </c>
      <c r="D288">
        <v>77</v>
      </c>
      <c r="E288">
        <v>7</v>
      </c>
      <c r="F288">
        <v>2</v>
      </c>
    </row>
    <row r="289" spans="1:6" x14ac:dyDescent="0.25">
      <c r="A289" s="1">
        <v>45705</v>
      </c>
      <c r="B289" t="s">
        <v>8</v>
      </c>
      <c r="C289">
        <v>54</v>
      </c>
      <c r="D289">
        <v>94</v>
      </c>
      <c r="E289">
        <v>8</v>
      </c>
      <c r="F289">
        <v>2</v>
      </c>
    </row>
    <row r="290" spans="1:6" x14ac:dyDescent="0.25">
      <c r="A290" s="1">
        <v>45706</v>
      </c>
      <c r="B290" t="s">
        <v>8</v>
      </c>
      <c r="C290">
        <v>50</v>
      </c>
      <c r="D290">
        <v>91</v>
      </c>
      <c r="E290">
        <v>8</v>
      </c>
      <c r="F290">
        <v>2</v>
      </c>
    </row>
    <row r="291" spans="1:6" x14ac:dyDescent="0.25">
      <c r="A291" s="1">
        <v>45707</v>
      </c>
      <c r="B291" t="s">
        <v>8</v>
      </c>
      <c r="C291">
        <v>51</v>
      </c>
      <c r="D291">
        <v>83</v>
      </c>
      <c r="E291">
        <v>8</v>
      </c>
      <c r="F291">
        <v>2</v>
      </c>
    </row>
    <row r="292" spans="1:6" x14ac:dyDescent="0.25">
      <c r="A292" s="1">
        <v>45708</v>
      </c>
      <c r="B292" t="s">
        <v>8</v>
      </c>
      <c r="C292">
        <v>49</v>
      </c>
      <c r="D292">
        <v>92</v>
      </c>
      <c r="E292">
        <v>8</v>
      </c>
      <c r="F292">
        <v>2</v>
      </c>
    </row>
    <row r="293" spans="1:6" x14ac:dyDescent="0.25">
      <c r="A293" s="1">
        <v>45709</v>
      </c>
      <c r="B293" t="s">
        <v>8</v>
      </c>
      <c r="C293">
        <v>62</v>
      </c>
      <c r="D293">
        <v>110</v>
      </c>
      <c r="E293">
        <v>8</v>
      </c>
      <c r="F293">
        <v>2</v>
      </c>
    </row>
    <row r="294" spans="1:6" x14ac:dyDescent="0.25">
      <c r="A294" s="1">
        <v>45710</v>
      </c>
      <c r="B294" t="s">
        <v>8</v>
      </c>
      <c r="C294">
        <v>54</v>
      </c>
      <c r="D294">
        <v>89</v>
      </c>
      <c r="E294">
        <v>8</v>
      </c>
      <c r="F294">
        <v>2</v>
      </c>
    </row>
    <row r="295" spans="1:6" x14ac:dyDescent="0.25">
      <c r="A295" s="1">
        <v>45711</v>
      </c>
      <c r="B295" t="s">
        <v>8</v>
      </c>
      <c r="C295">
        <v>52</v>
      </c>
      <c r="D295">
        <v>85</v>
      </c>
      <c r="E295">
        <v>8</v>
      </c>
      <c r="F295">
        <v>2</v>
      </c>
    </row>
    <row r="296" spans="1:6" x14ac:dyDescent="0.25">
      <c r="A296" s="1">
        <v>45712</v>
      </c>
      <c r="B296" t="s">
        <v>8</v>
      </c>
      <c r="C296">
        <v>56</v>
      </c>
      <c r="D296">
        <v>97</v>
      </c>
      <c r="E296">
        <v>9</v>
      </c>
      <c r="F296">
        <v>2</v>
      </c>
    </row>
    <row r="297" spans="1:6" x14ac:dyDescent="0.25">
      <c r="A297" s="1">
        <v>45713</v>
      </c>
      <c r="B297" t="s">
        <v>8</v>
      </c>
      <c r="C297">
        <v>50</v>
      </c>
      <c r="D297">
        <v>75</v>
      </c>
      <c r="E297">
        <v>9</v>
      </c>
      <c r="F297">
        <v>2</v>
      </c>
    </row>
    <row r="298" spans="1:6" x14ac:dyDescent="0.25">
      <c r="A298" s="1">
        <v>45714</v>
      </c>
      <c r="B298" t="s">
        <v>8</v>
      </c>
      <c r="C298">
        <v>57</v>
      </c>
      <c r="D298">
        <v>84</v>
      </c>
      <c r="E298">
        <v>9</v>
      </c>
      <c r="F298">
        <v>2</v>
      </c>
    </row>
    <row r="299" spans="1:6" x14ac:dyDescent="0.25">
      <c r="A299" s="1">
        <v>45715</v>
      </c>
      <c r="B299" t="s">
        <v>8</v>
      </c>
      <c r="C299">
        <v>48</v>
      </c>
      <c r="D299">
        <v>81</v>
      </c>
      <c r="E299">
        <v>9</v>
      </c>
      <c r="F299">
        <v>2</v>
      </c>
    </row>
    <row r="300" spans="1:6" x14ac:dyDescent="0.25">
      <c r="A300" s="1">
        <v>45716</v>
      </c>
      <c r="B300" t="s">
        <v>8</v>
      </c>
      <c r="C300">
        <v>51</v>
      </c>
      <c r="D300">
        <v>93</v>
      </c>
      <c r="E300">
        <v>9</v>
      </c>
      <c r="F300">
        <v>2</v>
      </c>
    </row>
    <row r="301" spans="1:6" x14ac:dyDescent="0.25">
      <c r="A301" s="1">
        <v>45717</v>
      </c>
      <c r="B301" t="s">
        <v>8</v>
      </c>
      <c r="C301">
        <v>43</v>
      </c>
      <c r="D301">
        <v>91</v>
      </c>
      <c r="E301">
        <v>9</v>
      </c>
      <c r="F301">
        <v>3</v>
      </c>
    </row>
    <row r="302" spans="1:6" x14ac:dyDescent="0.25">
      <c r="A302" s="1">
        <v>45718</v>
      </c>
      <c r="B302" t="s">
        <v>8</v>
      </c>
      <c r="C302">
        <v>49</v>
      </c>
      <c r="D302">
        <v>71</v>
      </c>
      <c r="E302">
        <v>9</v>
      </c>
      <c r="F302">
        <v>3</v>
      </c>
    </row>
    <row r="303" spans="1:6" x14ac:dyDescent="0.25">
      <c r="A303" s="1">
        <v>45719</v>
      </c>
      <c r="B303" t="s">
        <v>8</v>
      </c>
      <c r="C303">
        <v>45</v>
      </c>
      <c r="D303">
        <v>93</v>
      </c>
      <c r="E303">
        <v>10</v>
      </c>
      <c r="F303">
        <v>3</v>
      </c>
    </row>
    <row r="304" spans="1:6" x14ac:dyDescent="0.25">
      <c r="A304" s="1">
        <v>45720</v>
      </c>
      <c r="B304" t="s">
        <v>8</v>
      </c>
      <c r="C304">
        <v>53</v>
      </c>
      <c r="D304">
        <v>77</v>
      </c>
      <c r="E304">
        <v>10</v>
      </c>
      <c r="F304">
        <v>3</v>
      </c>
    </row>
    <row r="305" spans="1:6" x14ac:dyDescent="0.25">
      <c r="A305" s="1">
        <v>45721</v>
      </c>
      <c r="B305" t="s">
        <v>8</v>
      </c>
      <c r="C305">
        <v>43</v>
      </c>
      <c r="D305">
        <v>77</v>
      </c>
      <c r="E305">
        <v>10</v>
      </c>
      <c r="F305">
        <v>3</v>
      </c>
    </row>
    <row r="306" spans="1:6" x14ac:dyDescent="0.25">
      <c r="A306" s="1">
        <v>45722</v>
      </c>
      <c r="B306" t="s">
        <v>8</v>
      </c>
      <c r="C306">
        <v>56</v>
      </c>
      <c r="D306">
        <v>99</v>
      </c>
      <c r="E306">
        <v>10</v>
      </c>
      <c r="F306">
        <v>3</v>
      </c>
    </row>
    <row r="307" spans="1:6" x14ac:dyDescent="0.25">
      <c r="A307" s="1">
        <v>45723</v>
      </c>
      <c r="B307" t="s">
        <v>8</v>
      </c>
      <c r="C307">
        <v>59</v>
      </c>
      <c r="D307">
        <v>83</v>
      </c>
      <c r="E307">
        <v>10</v>
      </c>
      <c r="F307">
        <v>3</v>
      </c>
    </row>
    <row r="308" spans="1:6" x14ac:dyDescent="0.25">
      <c r="A308" s="1">
        <v>45724</v>
      </c>
      <c r="B308" t="s">
        <v>8</v>
      </c>
      <c r="C308">
        <v>42</v>
      </c>
      <c r="D308">
        <v>84</v>
      </c>
      <c r="E308">
        <v>10</v>
      </c>
      <c r="F308">
        <v>3</v>
      </c>
    </row>
    <row r="309" spans="1:6" x14ac:dyDescent="0.25">
      <c r="A309" s="1">
        <v>45725</v>
      </c>
      <c r="B309" t="s">
        <v>8</v>
      </c>
      <c r="C309">
        <v>62</v>
      </c>
      <c r="D309">
        <v>88</v>
      </c>
      <c r="E309">
        <v>10</v>
      </c>
      <c r="F309">
        <v>3</v>
      </c>
    </row>
    <row r="310" spans="1:6" x14ac:dyDescent="0.25">
      <c r="A310" s="1">
        <v>45726</v>
      </c>
      <c r="B310" t="s">
        <v>8</v>
      </c>
      <c r="C310">
        <v>56</v>
      </c>
      <c r="D310">
        <v>91</v>
      </c>
      <c r="E310">
        <v>11</v>
      </c>
      <c r="F310">
        <v>3</v>
      </c>
    </row>
    <row r="311" spans="1:6" x14ac:dyDescent="0.25">
      <c r="A311" s="1">
        <v>45727</v>
      </c>
      <c r="B311" t="s">
        <v>8</v>
      </c>
      <c r="C311">
        <v>43</v>
      </c>
      <c r="D311">
        <v>90</v>
      </c>
      <c r="E311">
        <v>11</v>
      </c>
      <c r="F311">
        <v>3</v>
      </c>
    </row>
    <row r="312" spans="1:6" x14ac:dyDescent="0.25">
      <c r="A312" s="1">
        <v>45728</v>
      </c>
      <c r="B312" t="s">
        <v>8</v>
      </c>
      <c r="C312">
        <v>55</v>
      </c>
      <c r="D312">
        <v>79</v>
      </c>
      <c r="E312">
        <v>11</v>
      </c>
      <c r="F312">
        <v>3</v>
      </c>
    </row>
    <row r="313" spans="1:6" x14ac:dyDescent="0.25">
      <c r="A313" s="1">
        <v>45729</v>
      </c>
      <c r="B313" t="s">
        <v>8</v>
      </c>
      <c r="C313">
        <v>48</v>
      </c>
      <c r="D313">
        <v>69</v>
      </c>
      <c r="E313">
        <v>11</v>
      </c>
      <c r="F313">
        <v>3</v>
      </c>
    </row>
    <row r="314" spans="1:6" x14ac:dyDescent="0.25">
      <c r="A314" s="1">
        <v>45730</v>
      </c>
      <c r="B314" t="s">
        <v>8</v>
      </c>
      <c r="C314">
        <v>48</v>
      </c>
      <c r="D314">
        <v>87</v>
      </c>
      <c r="E314">
        <v>11</v>
      </c>
      <c r="F314">
        <v>3</v>
      </c>
    </row>
    <row r="315" spans="1:6" x14ac:dyDescent="0.25">
      <c r="A315" s="1">
        <v>45731</v>
      </c>
      <c r="B315" t="s">
        <v>8</v>
      </c>
      <c r="C315">
        <v>54</v>
      </c>
      <c r="D315">
        <v>103</v>
      </c>
      <c r="E315">
        <v>11</v>
      </c>
      <c r="F315">
        <v>3</v>
      </c>
    </row>
    <row r="316" spans="1:6" x14ac:dyDescent="0.25">
      <c r="A316" s="1">
        <v>45732</v>
      </c>
      <c r="B316" t="s">
        <v>8</v>
      </c>
      <c r="C316">
        <v>48</v>
      </c>
      <c r="D316">
        <v>70</v>
      </c>
      <c r="E316">
        <v>11</v>
      </c>
      <c r="F316">
        <v>3</v>
      </c>
    </row>
    <row r="317" spans="1:6" x14ac:dyDescent="0.25">
      <c r="A317" s="1">
        <v>45733</v>
      </c>
      <c r="B317" t="s">
        <v>8</v>
      </c>
      <c r="C317">
        <v>42</v>
      </c>
      <c r="D317">
        <v>85</v>
      </c>
      <c r="E317">
        <v>12</v>
      </c>
      <c r="F317">
        <v>3</v>
      </c>
    </row>
    <row r="318" spans="1:6" x14ac:dyDescent="0.25">
      <c r="A318" s="1">
        <v>45734</v>
      </c>
      <c r="B318" t="s">
        <v>8</v>
      </c>
      <c r="C318">
        <v>43</v>
      </c>
      <c r="D318">
        <v>79</v>
      </c>
      <c r="E318">
        <v>12</v>
      </c>
      <c r="F318">
        <v>3</v>
      </c>
    </row>
    <row r="319" spans="1:6" x14ac:dyDescent="0.25">
      <c r="A319" s="1">
        <v>45735</v>
      </c>
      <c r="B319" t="s">
        <v>8</v>
      </c>
      <c r="C319">
        <v>46</v>
      </c>
      <c r="D319">
        <v>78</v>
      </c>
      <c r="E319">
        <v>12</v>
      </c>
      <c r="F319">
        <v>3</v>
      </c>
    </row>
    <row r="320" spans="1:6" x14ac:dyDescent="0.25">
      <c r="A320" s="1">
        <v>45736</v>
      </c>
      <c r="B320" t="s">
        <v>8</v>
      </c>
      <c r="C320">
        <v>49</v>
      </c>
      <c r="D320">
        <v>90</v>
      </c>
      <c r="E320">
        <v>12</v>
      </c>
      <c r="F320">
        <v>3</v>
      </c>
    </row>
    <row r="321" spans="1:6" x14ac:dyDescent="0.25">
      <c r="A321" s="1">
        <v>45737</v>
      </c>
      <c r="B321" t="s">
        <v>8</v>
      </c>
      <c r="C321">
        <v>51</v>
      </c>
      <c r="D321">
        <v>93</v>
      </c>
      <c r="E321">
        <v>12</v>
      </c>
      <c r="F321">
        <v>3</v>
      </c>
    </row>
    <row r="322" spans="1:6" x14ac:dyDescent="0.25">
      <c r="A322" s="1">
        <v>45738</v>
      </c>
      <c r="B322" t="s">
        <v>8</v>
      </c>
      <c r="C322">
        <v>55</v>
      </c>
      <c r="D322">
        <v>95</v>
      </c>
      <c r="E322">
        <v>12</v>
      </c>
      <c r="F322">
        <v>3</v>
      </c>
    </row>
    <row r="323" spans="1:6" x14ac:dyDescent="0.25">
      <c r="A323" s="1">
        <v>45739</v>
      </c>
      <c r="B323" t="s">
        <v>8</v>
      </c>
      <c r="C323">
        <v>58</v>
      </c>
      <c r="D323">
        <v>79</v>
      </c>
      <c r="E323">
        <v>12</v>
      </c>
      <c r="F323">
        <v>3</v>
      </c>
    </row>
    <row r="324" spans="1:6" x14ac:dyDescent="0.25">
      <c r="A324" s="1">
        <v>45740</v>
      </c>
      <c r="B324" t="s">
        <v>8</v>
      </c>
      <c r="C324">
        <v>52</v>
      </c>
      <c r="D324">
        <v>97</v>
      </c>
      <c r="E324">
        <v>13</v>
      </c>
      <c r="F324">
        <v>3</v>
      </c>
    </row>
    <row r="325" spans="1:6" x14ac:dyDescent="0.25">
      <c r="A325" s="1">
        <v>45741</v>
      </c>
      <c r="B325" t="s">
        <v>8</v>
      </c>
      <c r="C325">
        <v>56</v>
      </c>
      <c r="D325">
        <v>97</v>
      </c>
      <c r="E325">
        <v>13</v>
      </c>
      <c r="F325">
        <v>3</v>
      </c>
    </row>
    <row r="326" spans="1:6" x14ac:dyDescent="0.25">
      <c r="A326" s="1">
        <v>45742</v>
      </c>
      <c r="B326" t="s">
        <v>8</v>
      </c>
      <c r="C326">
        <v>42</v>
      </c>
      <c r="D326">
        <v>67</v>
      </c>
      <c r="E326">
        <v>13</v>
      </c>
      <c r="F326">
        <v>3</v>
      </c>
    </row>
    <row r="327" spans="1:6" x14ac:dyDescent="0.25">
      <c r="A327" s="1">
        <v>45743</v>
      </c>
      <c r="B327" t="s">
        <v>8</v>
      </c>
      <c r="C327">
        <v>56</v>
      </c>
      <c r="D327">
        <v>88</v>
      </c>
      <c r="E327">
        <v>13</v>
      </c>
      <c r="F327">
        <v>3</v>
      </c>
    </row>
    <row r="328" spans="1:6" x14ac:dyDescent="0.25">
      <c r="A328" s="1">
        <v>45744</v>
      </c>
      <c r="B328" t="s">
        <v>8</v>
      </c>
      <c r="C328">
        <v>54</v>
      </c>
      <c r="D328">
        <v>86</v>
      </c>
      <c r="E328">
        <v>13</v>
      </c>
      <c r="F328">
        <v>3</v>
      </c>
    </row>
    <row r="329" spans="1:6" x14ac:dyDescent="0.25">
      <c r="A329" s="1">
        <v>45745</v>
      </c>
      <c r="B329" t="s">
        <v>8</v>
      </c>
      <c r="C329">
        <v>59</v>
      </c>
      <c r="D329">
        <v>108</v>
      </c>
      <c r="E329">
        <v>13</v>
      </c>
      <c r="F329">
        <v>3</v>
      </c>
    </row>
    <row r="330" spans="1:6" x14ac:dyDescent="0.25">
      <c r="A330" s="1">
        <v>45746</v>
      </c>
      <c r="B330" t="s">
        <v>8</v>
      </c>
      <c r="C330">
        <v>51</v>
      </c>
      <c r="D330">
        <v>98</v>
      </c>
      <c r="E330">
        <v>13</v>
      </c>
      <c r="F330">
        <v>3</v>
      </c>
    </row>
    <row r="331" spans="1:6" x14ac:dyDescent="0.25">
      <c r="A331" s="1">
        <v>45747</v>
      </c>
      <c r="B331" t="s">
        <v>8</v>
      </c>
      <c r="C331">
        <v>69</v>
      </c>
      <c r="D331">
        <v>109</v>
      </c>
      <c r="E331">
        <v>14</v>
      </c>
      <c r="F331">
        <v>3</v>
      </c>
    </row>
    <row r="332" spans="1:6" x14ac:dyDescent="0.25">
      <c r="A332" s="1">
        <v>45748</v>
      </c>
      <c r="B332" t="s">
        <v>8</v>
      </c>
      <c r="C332">
        <v>53</v>
      </c>
      <c r="D332">
        <v>93</v>
      </c>
      <c r="E332">
        <v>14</v>
      </c>
      <c r="F332">
        <v>4</v>
      </c>
    </row>
    <row r="333" spans="1:6" x14ac:dyDescent="0.25">
      <c r="A333" s="1">
        <v>45749</v>
      </c>
      <c r="B333" t="s">
        <v>8</v>
      </c>
      <c r="C333">
        <v>59</v>
      </c>
      <c r="D333">
        <v>82</v>
      </c>
      <c r="E333">
        <v>14</v>
      </c>
      <c r="F333">
        <v>4</v>
      </c>
    </row>
    <row r="334" spans="1:6" x14ac:dyDescent="0.25">
      <c r="A334" s="1">
        <v>45750</v>
      </c>
      <c r="B334" t="s">
        <v>8</v>
      </c>
      <c r="C334">
        <v>56</v>
      </c>
      <c r="D334">
        <v>78</v>
      </c>
      <c r="E334">
        <v>14</v>
      </c>
      <c r="F334">
        <v>4</v>
      </c>
    </row>
    <row r="335" spans="1:6" x14ac:dyDescent="0.25">
      <c r="A335" s="1">
        <v>45751</v>
      </c>
      <c r="B335" t="s">
        <v>8</v>
      </c>
      <c r="C335">
        <v>67</v>
      </c>
      <c r="D335">
        <v>110</v>
      </c>
      <c r="E335">
        <v>14</v>
      </c>
      <c r="F335">
        <v>4</v>
      </c>
    </row>
    <row r="336" spans="1:6" x14ac:dyDescent="0.25">
      <c r="A336" s="1">
        <v>45752</v>
      </c>
      <c r="B336" t="s">
        <v>8</v>
      </c>
      <c r="C336">
        <v>65</v>
      </c>
      <c r="D336">
        <v>85</v>
      </c>
      <c r="E336">
        <v>14</v>
      </c>
      <c r="F336">
        <v>4</v>
      </c>
    </row>
    <row r="337" spans="1:6" x14ac:dyDescent="0.25">
      <c r="A337" s="1">
        <v>45753</v>
      </c>
      <c r="B337" t="s">
        <v>8</v>
      </c>
      <c r="C337">
        <v>46</v>
      </c>
      <c r="D337">
        <v>84</v>
      </c>
      <c r="E337">
        <v>14</v>
      </c>
      <c r="F337">
        <v>4</v>
      </c>
    </row>
    <row r="338" spans="1:6" x14ac:dyDescent="0.25">
      <c r="A338" s="1">
        <v>45754</v>
      </c>
      <c r="B338" t="s">
        <v>8</v>
      </c>
      <c r="C338">
        <v>53</v>
      </c>
      <c r="D338">
        <v>102</v>
      </c>
      <c r="E338">
        <v>15</v>
      </c>
      <c r="F338">
        <v>4</v>
      </c>
    </row>
    <row r="339" spans="1:6" x14ac:dyDescent="0.25">
      <c r="A339" s="1">
        <v>45755</v>
      </c>
      <c r="B339" t="s">
        <v>8</v>
      </c>
      <c r="C339">
        <v>68</v>
      </c>
      <c r="D339">
        <v>96</v>
      </c>
      <c r="E339">
        <v>15</v>
      </c>
      <c r="F339">
        <v>4</v>
      </c>
    </row>
    <row r="340" spans="1:6" x14ac:dyDescent="0.25">
      <c r="A340" s="1">
        <v>45756</v>
      </c>
      <c r="B340" t="s">
        <v>8</v>
      </c>
      <c r="C340">
        <v>57</v>
      </c>
      <c r="D340">
        <v>85</v>
      </c>
      <c r="E340">
        <v>15</v>
      </c>
      <c r="F340">
        <v>4</v>
      </c>
    </row>
    <row r="341" spans="1:6" x14ac:dyDescent="0.25">
      <c r="A341" s="1">
        <v>45757</v>
      </c>
      <c r="B341" t="s">
        <v>8</v>
      </c>
      <c r="C341">
        <v>48</v>
      </c>
      <c r="D341">
        <v>96</v>
      </c>
      <c r="E341">
        <v>15</v>
      </c>
      <c r="F341">
        <v>4</v>
      </c>
    </row>
    <row r="342" spans="1:6" x14ac:dyDescent="0.25">
      <c r="A342" s="1">
        <v>45758</v>
      </c>
      <c r="B342" t="s">
        <v>8</v>
      </c>
      <c r="C342">
        <v>55</v>
      </c>
      <c r="D342">
        <v>81</v>
      </c>
      <c r="E342">
        <v>15</v>
      </c>
      <c r="F342">
        <v>4</v>
      </c>
    </row>
    <row r="343" spans="1:6" x14ac:dyDescent="0.25">
      <c r="A343" s="1">
        <v>45759</v>
      </c>
      <c r="B343" t="s">
        <v>8</v>
      </c>
      <c r="C343">
        <v>38</v>
      </c>
      <c r="D343">
        <v>69</v>
      </c>
      <c r="E343">
        <v>15</v>
      </c>
      <c r="F343">
        <v>4</v>
      </c>
    </row>
    <row r="344" spans="1:6" x14ac:dyDescent="0.25">
      <c r="A344" s="1">
        <v>45760</v>
      </c>
      <c r="B344" t="s">
        <v>8</v>
      </c>
      <c r="C344">
        <v>55</v>
      </c>
      <c r="D344">
        <v>76</v>
      </c>
      <c r="E344">
        <v>15</v>
      </c>
      <c r="F344">
        <v>4</v>
      </c>
    </row>
    <row r="345" spans="1:6" x14ac:dyDescent="0.25">
      <c r="A345" s="1">
        <v>45761</v>
      </c>
      <c r="B345" t="s">
        <v>8</v>
      </c>
      <c r="C345">
        <v>40</v>
      </c>
      <c r="D345">
        <v>86</v>
      </c>
      <c r="E345">
        <v>16</v>
      </c>
      <c r="F345">
        <v>4</v>
      </c>
    </row>
    <row r="346" spans="1:6" x14ac:dyDescent="0.25">
      <c r="A346" s="1">
        <v>45762</v>
      </c>
      <c r="B346" t="s">
        <v>8</v>
      </c>
      <c r="C346">
        <v>63</v>
      </c>
      <c r="D346">
        <v>92</v>
      </c>
      <c r="E346">
        <v>16</v>
      </c>
      <c r="F346">
        <v>4</v>
      </c>
    </row>
    <row r="347" spans="1:6" x14ac:dyDescent="0.25">
      <c r="A347" s="1">
        <v>45763</v>
      </c>
      <c r="B347" t="s">
        <v>8</v>
      </c>
      <c r="C347">
        <v>55</v>
      </c>
      <c r="D347">
        <v>86</v>
      </c>
      <c r="E347">
        <v>16</v>
      </c>
      <c r="F347">
        <v>4</v>
      </c>
    </row>
    <row r="348" spans="1:6" x14ac:dyDescent="0.25">
      <c r="A348" s="1">
        <v>45764</v>
      </c>
      <c r="B348" t="s">
        <v>8</v>
      </c>
      <c r="C348">
        <v>52</v>
      </c>
      <c r="D348">
        <v>79</v>
      </c>
      <c r="E348">
        <v>16</v>
      </c>
      <c r="F348">
        <v>4</v>
      </c>
    </row>
    <row r="349" spans="1:6" x14ac:dyDescent="0.25">
      <c r="A349" s="1">
        <v>45765</v>
      </c>
      <c r="B349" t="s">
        <v>8</v>
      </c>
      <c r="C349">
        <v>54</v>
      </c>
      <c r="D349">
        <v>78</v>
      </c>
      <c r="E349">
        <v>16</v>
      </c>
      <c r="F349">
        <v>4</v>
      </c>
    </row>
    <row r="350" spans="1:6" x14ac:dyDescent="0.25">
      <c r="A350" s="1">
        <v>45766</v>
      </c>
      <c r="B350" t="s">
        <v>8</v>
      </c>
      <c r="C350">
        <v>55</v>
      </c>
      <c r="D350">
        <v>99</v>
      </c>
      <c r="E350">
        <v>16</v>
      </c>
      <c r="F350">
        <v>4</v>
      </c>
    </row>
    <row r="351" spans="1:6" x14ac:dyDescent="0.25">
      <c r="A351" s="1">
        <v>45767</v>
      </c>
      <c r="B351" t="s">
        <v>8</v>
      </c>
      <c r="C351">
        <v>62</v>
      </c>
      <c r="D351">
        <v>108</v>
      </c>
      <c r="E351">
        <v>16</v>
      </c>
      <c r="F351">
        <v>4</v>
      </c>
    </row>
    <row r="352" spans="1:6" x14ac:dyDescent="0.25">
      <c r="A352" s="1">
        <v>45768</v>
      </c>
      <c r="B352" t="s">
        <v>8</v>
      </c>
      <c r="C352">
        <v>64</v>
      </c>
      <c r="D352">
        <v>104</v>
      </c>
      <c r="E352">
        <v>17</v>
      </c>
      <c r="F352">
        <v>4</v>
      </c>
    </row>
    <row r="353" spans="1:6" x14ac:dyDescent="0.25">
      <c r="A353" s="1">
        <v>45769</v>
      </c>
      <c r="B353" t="s">
        <v>8</v>
      </c>
      <c r="C353">
        <v>50</v>
      </c>
      <c r="D353">
        <v>84</v>
      </c>
      <c r="E353">
        <v>17</v>
      </c>
      <c r="F353">
        <v>4</v>
      </c>
    </row>
    <row r="354" spans="1:6" x14ac:dyDescent="0.25">
      <c r="A354" s="1">
        <v>45770</v>
      </c>
      <c r="B354" t="s">
        <v>8</v>
      </c>
      <c r="C354">
        <v>55</v>
      </c>
      <c r="D354">
        <v>90</v>
      </c>
      <c r="E354">
        <v>17</v>
      </c>
      <c r="F354">
        <v>4</v>
      </c>
    </row>
    <row r="355" spans="1:6" x14ac:dyDescent="0.25">
      <c r="A355" s="1">
        <v>45771</v>
      </c>
      <c r="B355" t="s">
        <v>8</v>
      </c>
      <c r="C355">
        <v>41</v>
      </c>
      <c r="D355">
        <v>89</v>
      </c>
      <c r="E355">
        <v>17</v>
      </c>
      <c r="F355">
        <v>4</v>
      </c>
    </row>
    <row r="356" spans="1:6" x14ac:dyDescent="0.25">
      <c r="A356" s="1">
        <v>45772</v>
      </c>
      <c r="B356" t="s">
        <v>8</v>
      </c>
      <c r="C356">
        <v>50</v>
      </c>
      <c r="D356">
        <v>76</v>
      </c>
      <c r="E356">
        <v>17</v>
      </c>
      <c r="F356">
        <v>4</v>
      </c>
    </row>
    <row r="357" spans="1:6" x14ac:dyDescent="0.25">
      <c r="A357" s="1">
        <v>45773</v>
      </c>
      <c r="B357" t="s">
        <v>8</v>
      </c>
      <c r="C357">
        <v>50</v>
      </c>
      <c r="D357">
        <v>76</v>
      </c>
      <c r="E357">
        <v>17</v>
      </c>
      <c r="F357">
        <v>4</v>
      </c>
    </row>
    <row r="358" spans="1:6" x14ac:dyDescent="0.25">
      <c r="A358" s="1">
        <v>45774</v>
      </c>
      <c r="B358" t="s">
        <v>8</v>
      </c>
      <c r="C358">
        <v>45</v>
      </c>
      <c r="D358">
        <v>66</v>
      </c>
      <c r="E358">
        <v>17</v>
      </c>
      <c r="F358">
        <v>4</v>
      </c>
    </row>
    <row r="359" spans="1:6" x14ac:dyDescent="0.25">
      <c r="A359" s="1">
        <v>45775</v>
      </c>
      <c r="B359" t="s">
        <v>8</v>
      </c>
      <c r="C359">
        <v>61</v>
      </c>
      <c r="D359">
        <v>106</v>
      </c>
      <c r="E359">
        <v>18</v>
      </c>
      <c r="F359">
        <v>4</v>
      </c>
    </row>
    <row r="360" spans="1:6" x14ac:dyDescent="0.25">
      <c r="A360" s="1">
        <v>45776</v>
      </c>
      <c r="B360" t="s">
        <v>8</v>
      </c>
      <c r="C360">
        <v>56</v>
      </c>
      <c r="D360">
        <v>90</v>
      </c>
      <c r="E360">
        <v>18</v>
      </c>
      <c r="F360">
        <v>4</v>
      </c>
    </row>
    <row r="361" spans="1:6" x14ac:dyDescent="0.25">
      <c r="A361" s="1">
        <v>45777</v>
      </c>
      <c r="B361" t="s">
        <v>8</v>
      </c>
      <c r="C361">
        <v>58</v>
      </c>
      <c r="D361">
        <v>99</v>
      </c>
      <c r="E361">
        <v>18</v>
      </c>
      <c r="F361">
        <v>4</v>
      </c>
    </row>
    <row r="362" spans="1:6" x14ac:dyDescent="0.25">
      <c r="A362" s="1">
        <v>45658</v>
      </c>
      <c r="B362" t="s">
        <v>9</v>
      </c>
      <c r="C362">
        <v>80</v>
      </c>
      <c r="D362">
        <v>112</v>
      </c>
      <c r="E362">
        <v>1</v>
      </c>
      <c r="F362">
        <v>1</v>
      </c>
    </row>
    <row r="363" spans="1:6" x14ac:dyDescent="0.25">
      <c r="A363" s="1">
        <v>45659</v>
      </c>
      <c r="B363" t="s">
        <v>9</v>
      </c>
      <c r="C363">
        <v>77</v>
      </c>
      <c r="D363">
        <v>119</v>
      </c>
      <c r="E363">
        <v>1</v>
      </c>
      <c r="F363">
        <v>1</v>
      </c>
    </row>
    <row r="364" spans="1:6" x14ac:dyDescent="0.25">
      <c r="A364" s="1">
        <v>45660</v>
      </c>
      <c r="B364" t="s">
        <v>9</v>
      </c>
      <c r="C364">
        <v>71</v>
      </c>
      <c r="D364">
        <v>117</v>
      </c>
      <c r="E364">
        <v>1</v>
      </c>
      <c r="F364">
        <v>1</v>
      </c>
    </row>
    <row r="365" spans="1:6" x14ac:dyDescent="0.25">
      <c r="A365" s="1">
        <v>45661</v>
      </c>
      <c r="B365" t="s">
        <v>9</v>
      </c>
      <c r="C365">
        <v>81</v>
      </c>
      <c r="D365">
        <v>121</v>
      </c>
      <c r="E365">
        <v>1</v>
      </c>
      <c r="F365">
        <v>1</v>
      </c>
    </row>
    <row r="366" spans="1:6" x14ac:dyDescent="0.25">
      <c r="A366" s="1">
        <v>45662</v>
      </c>
      <c r="B366" t="s">
        <v>9</v>
      </c>
      <c r="C366">
        <v>73</v>
      </c>
      <c r="D366">
        <v>104</v>
      </c>
      <c r="E366">
        <v>1</v>
      </c>
      <c r="F366">
        <v>1</v>
      </c>
    </row>
    <row r="367" spans="1:6" x14ac:dyDescent="0.25">
      <c r="A367" s="1">
        <v>45663</v>
      </c>
      <c r="B367" t="s">
        <v>9</v>
      </c>
      <c r="C367">
        <v>72</v>
      </c>
      <c r="D367">
        <v>96</v>
      </c>
      <c r="E367">
        <v>2</v>
      </c>
      <c r="F367">
        <v>1</v>
      </c>
    </row>
    <row r="368" spans="1:6" x14ac:dyDescent="0.25">
      <c r="A368" s="1">
        <v>45664</v>
      </c>
      <c r="B368" t="s">
        <v>9</v>
      </c>
      <c r="C368">
        <v>80</v>
      </c>
      <c r="D368">
        <v>112</v>
      </c>
      <c r="E368">
        <v>2</v>
      </c>
      <c r="F368">
        <v>1</v>
      </c>
    </row>
    <row r="369" spans="1:6" x14ac:dyDescent="0.25">
      <c r="A369" s="1">
        <v>45665</v>
      </c>
      <c r="B369" t="s">
        <v>9</v>
      </c>
      <c r="C369">
        <v>70</v>
      </c>
      <c r="D369">
        <v>93</v>
      </c>
      <c r="E369">
        <v>2</v>
      </c>
      <c r="F369">
        <v>1</v>
      </c>
    </row>
    <row r="370" spans="1:6" x14ac:dyDescent="0.25">
      <c r="A370" s="1">
        <v>45666</v>
      </c>
      <c r="B370" t="s">
        <v>9</v>
      </c>
      <c r="C370">
        <v>80</v>
      </c>
      <c r="D370">
        <v>115</v>
      </c>
      <c r="E370">
        <v>2</v>
      </c>
      <c r="F370">
        <v>1</v>
      </c>
    </row>
    <row r="371" spans="1:6" x14ac:dyDescent="0.25">
      <c r="A371" s="1">
        <v>45667</v>
      </c>
      <c r="B371" t="s">
        <v>9</v>
      </c>
      <c r="C371">
        <v>72</v>
      </c>
      <c r="D371">
        <v>115</v>
      </c>
      <c r="E371">
        <v>2</v>
      </c>
      <c r="F371">
        <v>1</v>
      </c>
    </row>
    <row r="372" spans="1:6" x14ac:dyDescent="0.25">
      <c r="A372" s="1">
        <v>45668</v>
      </c>
      <c r="B372" t="s">
        <v>9</v>
      </c>
      <c r="C372">
        <v>82</v>
      </c>
      <c r="D372">
        <v>129</v>
      </c>
      <c r="E372">
        <v>2</v>
      </c>
      <c r="F372">
        <v>1</v>
      </c>
    </row>
    <row r="373" spans="1:6" x14ac:dyDescent="0.25">
      <c r="A373" s="1">
        <v>45669</v>
      </c>
      <c r="B373" t="s">
        <v>9</v>
      </c>
      <c r="C373">
        <v>72</v>
      </c>
      <c r="D373">
        <v>105</v>
      </c>
      <c r="E373">
        <v>2</v>
      </c>
      <c r="F373">
        <v>1</v>
      </c>
    </row>
    <row r="374" spans="1:6" x14ac:dyDescent="0.25">
      <c r="A374" s="1">
        <v>45670</v>
      </c>
      <c r="B374" t="s">
        <v>9</v>
      </c>
      <c r="C374">
        <v>76</v>
      </c>
      <c r="D374">
        <v>97</v>
      </c>
      <c r="E374">
        <v>3</v>
      </c>
      <c r="F374">
        <v>1</v>
      </c>
    </row>
    <row r="375" spans="1:6" x14ac:dyDescent="0.25">
      <c r="A375" s="1">
        <v>45671</v>
      </c>
      <c r="B375" t="s">
        <v>9</v>
      </c>
      <c r="C375">
        <v>78</v>
      </c>
      <c r="D375">
        <v>110</v>
      </c>
      <c r="E375">
        <v>3</v>
      </c>
      <c r="F375">
        <v>1</v>
      </c>
    </row>
    <row r="376" spans="1:6" x14ac:dyDescent="0.25">
      <c r="A376" s="1">
        <v>45672</v>
      </c>
      <c r="B376" t="s">
        <v>9</v>
      </c>
      <c r="C376">
        <v>62</v>
      </c>
      <c r="D376">
        <v>106</v>
      </c>
      <c r="E376">
        <v>3</v>
      </c>
      <c r="F376">
        <v>1</v>
      </c>
    </row>
    <row r="377" spans="1:6" x14ac:dyDescent="0.25">
      <c r="A377" s="1">
        <v>45673</v>
      </c>
      <c r="B377" t="s">
        <v>9</v>
      </c>
      <c r="C377">
        <v>66</v>
      </c>
      <c r="D377">
        <v>88</v>
      </c>
      <c r="E377">
        <v>3</v>
      </c>
      <c r="F377">
        <v>1</v>
      </c>
    </row>
    <row r="378" spans="1:6" x14ac:dyDescent="0.25">
      <c r="A378" s="1">
        <v>45674</v>
      </c>
      <c r="B378" t="s">
        <v>9</v>
      </c>
      <c r="C378">
        <v>83</v>
      </c>
      <c r="D378">
        <v>124</v>
      </c>
      <c r="E378">
        <v>3</v>
      </c>
      <c r="F378">
        <v>1</v>
      </c>
    </row>
    <row r="379" spans="1:6" x14ac:dyDescent="0.25">
      <c r="A379" s="1">
        <v>45675</v>
      </c>
      <c r="B379" t="s">
        <v>9</v>
      </c>
      <c r="C379">
        <v>65</v>
      </c>
      <c r="D379">
        <v>102</v>
      </c>
      <c r="E379">
        <v>3</v>
      </c>
      <c r="F379">
        <v>1</v>
      </c>
    </row>
    <row r="380" spans="1:6" x14ac:dyDescent="0.25">
      <c r="A380" s="1">
        <v>45676</v>
      </c>
      <c r="B380" t="s">
        <v>9</v>
      </c>
      <c r="C380">
        <v>87</v>
      </c>
      <c r="D380">
        <v>119</v>
      </c>
      <c r="E380">
        <v>3</v>
      </c>
      <c r="F380">
        <v>1</v>
      </c>
    </row>
    <row r="381" spans="1:6" x14ac:dyDescent="0.25">
      <c r="A381" s="1">
        <v>45677</v>
      </c>
      <c r="B381" t="s">
        <v>9</v>
      </c>
      <c r="C381">
        <v>66</v>
      </c>
      <c r="D381">
        <v>94</v>
      </c>
      <c r="E381">
        <v>4</v>
      </c>
      <c r="F381">
        <v>1</v>
      </c>
    </row>
    <row r="382" spans="1:6" x14ac:dyDescent="0.25">
      <c r="A382" s="1">
        <v>45678</v>
      </c>
      <c r="B382" t="s">
        <v>9</v>
      </c>
      <c r="C382">
        <v>73</v>
      </c>
      <c r="D382">
        <v>119</v>
      </c>
      <c r="E382">
        <v>4</v>
      </c>
      <c r="F382">
        <v>1</v>
      </c>
    </row>
    <row r="383" spans="1:6" x14ac:dyDescent="0.25">
      <c r="A383" s="1">
        <v>45679</v>
      </c>
      <c r="B383" t="s">
        <v>9</v>
      </c>
      <c r="C383">
        <v>63</v>
      </c>
      <c r="D383">
        <v>107</v>
      </c>
      <c r="E383">
        <v>4</v>
      </c>
      <c r="F383">
        <v>1</v>
      </c>
    </row>
    <row r="384" spans="1:6" x14ac:dyDescent="0.25">
      <c r="A384" s="1">
        <v>45680</v>
      </c>
      <c r="B384" t="s">
        <v>9</v>
      </c>
      <c r="C384">
        <v>84</v>
      </c>
      <c r="D384">
        <v>118</v>
      </c>
      <c r="E384">
        <v>4</v>
      </c>
      <c r="F384">
        <v>1</v>
      </c>
    </row>
    <row r="385" spans="1:6" x14ac:dyDescent="0.25">
      <c r="A385" s="1">
        <v>45681</v>
      </c>
      <c r="B385" t="s">
        <v>9</v>
      </c>
      <c r="C385">
        <v>78</v>
      </c>
      <c r="D385">
        <v>124</v>
      </c>
      <c r="E385">
        <v>4</v>
      </c>
      <c r="F385">
        <v>1</v>
      </c>
    </row>
    <row r="386" spans="1:6" x14ac:dyDescent="0.25">
      <c r="A386" s="1">
        <v>45682</v>
      </c>
      <c r="B386" t="s">
        <v>9</v>
      </c>
      <c r="C386">
        <v>68</v>
      </c>
      <c r="D386">
        <v>93</v>
      </c>
      <c r="E386">
        <v>4</v>
      </c>
      <c r="F386">
        <v>1</v>
      </c>
    </row>
    <row r="387" spans="1:6" x14ac:dyDescent="0.25">
      <c r="A387" s="1">
        <v>45683</v>
      </c>
      <c r="B387" t="s">
        <v>9</v>
      </c>
      <c r="C387">
        <v>68</v>
      </c>
      <c r="D387">
        <v>113</v>
      </c>
      <c r="E387">
        <v>4</v>
      </c>
      <c r="F387">
        <v>1</v>
      </c>
    </row>
    <row r="388" spans="1:6" x14ac:dyDescent="0.25">
      <c r="A388" s="1">
        <v>45684</v>
      </c>
      <c r="B388" t="s">
        <v>9</v>
      </c>
      <c r="C388">
        <v>75</v>
      </c>
      <c r="D388">
        <v>110</v>
      </c>
      <c r="E388">
        <v>5</v>
      </c>
      <c r="F388">
        <v>1</v>
      </c>
    </row>
    <row r="389" spans="1:6" x14ac:dyDescent="0.25">
      <c r="A389" s="1">
        <v>45685</v>
      </c>
      <c r="B389" t="s">
        <v>9</v>
      </c>
      <c r="C389">
        <v>79</v>
      </c>
      <c r="D389">
        <v>115</v>
      </c>
      <c r="E389">
        <v>5</v>
      </c>
      <c r="F389">
        <v>1</v>
      </c>
    </row>
    <row r="390" spans="1:6" x14ac:dyDescent="0.25">
      <c r="A390" s="1">
        <v>45686</v>
      </c>
      <c r="B390" t="s">
        <v>9</v>
      </c>
      <c r="C390">
        <v>74</v>
      </c>
      <c r="D390">
        <v>96</v>
      </c>
      <c r="E390">
        <v>5</v>
      </c>
      <c r="F390">
        <v>1</v>
      </c>
    </row>
    <row r="391" spans="1:6" x14ac:dyDescent="0.25">
      <c r="A391" s="1">
        <v>45687</v>
      </c>
      <c r="B391" t="s">
        <v>9</v>
      </c>
      <c r="C391">
        <v>70</v>
      </c>
      <c r="D391">
        <v>116</v>
      </c>
      <c r="E391">
        <v>5</v>
      </c>
      <c r="F391">
        <v>1</v>
      </c>
    </row>
    <row r="392" spans="1:6" x14ac:dyDescent="0.25">
      <c r="A392" s="1">
        <v>45688</v>
      </c>
      <c r="B392" t="s">
        <v>9</v>
      </c>
      <c r="C392">
        <v>85</v>
      </c>
      <c r="D392">
        <v>128</v>
      </c>
      <c r="E392">
        <v>5</v>
      </c>
      <c r="F392">
        <v>1</v>
      </c>
    </row>
    <row r="393" spans="1:6" x14ac:dyDescent="0.25">
      <c r="A393" s="1">
        <v>45689</v>
      </c>
      <c r="B393" t="s">
        <v>9</v>
      </c>
      <c r="C393">
        <v>82</v>
      </c>
      <c r="D393">
        <v>102</v>
      </c>
      <c r="E393">
        <v>5</v>
      </c>
      <c r="F393">
        <v>2</v>
      </c>
    </row>
    <row r="394" spans="1:6" x14ac:dyDescent="0.25">
      <c r="A394" s="1">
        <v>45690</v>
      </c>
      <c r="B394" t="s">
        <v>9</v>
      </c>
      <c r="C394">
        <v>64</v>
      </c>
      <c r="D394">
        <v>96</v>
      </c>
      <c r="E394">
        <v>5</v>
      </c>
      <c r="F394">
        <v>2</v>
      </c>
    </row>
    <row r="395" spans="1:6" x14ac:dyDescent="0.25">
      <c r="A395" s="1">
        <v>45691</v>
      </c>
      <c r="B395" t="s">
        <v>9</v>
      </c>
      <c r="C395">
        <v>84</v>
      </c>
      <c r="D395">
        <v>113</v>
      </c>
      <c r="E395">
        <v>6</v>
      </c>
      <c r="F395">
        <v>2</v>
      </c>
    </row>
    <row r="396" spans="1:6" x14ac:dyDescent="0.25">
      <c r="A396" s="1">
        <v>45692</v>
      </c>
      <c r="B396" t="s">
        <v>9</v>
      </c>
      <c r="C396">
        <v>61</v>
      </c>
      <c r="D396">
        <v>108</v>
      </c>
      <c r="E396">
        <v>6</v>
      </c>
      <c r="F396">
        <v>2</v>
      </c>
    </row>
    <row r="397" spans="1:6" x14ac:dyDescent="0.25">
      <c r="A397" s="1">
        <v>45693</v>
      </c>
      <c r="B397" t="s">
        <v>9</v>
      </c>
      <c r="C397">
        <v>64</v>
      </c>
      <c r="D397">
        <v>109</v>
      </c>
      <c r="E397">
        <v>6</v>
      </c>
      <c r="F397">
        <v>2</v>
      </c>
    </row>
    <row r="398" spans="1:6" x14ac:dyDescent="0.25">
      <c r="A398" s="1">
        <v>45694</v>
      </c>
      <c r="B398" t="s">
        <v>9</v>
      </c>
      <c r="C398">
        <v>73</v>
      </c>
      <c r="D398">
        <v>102</v>
      </c>
      <c r="E398">
        <v>6</v>
      </c>
      <c r="F398">
        <v>2</v>
      </c>
    </row>
    <row r="399" spans="1:6" x14ac:dyDescent="0.25">
      <c r="A399" s="1">
        <v>45695</v>
      </c>
      <c r="B399" t="s">
        <v>9</v>
      </c>
      <c r="C399">
        <v>63</v>
      </c>
      <c r="D399">
        <v>112</v>
      </c>
      <c r="E399">
        <v>6</v>
      </c>
      <c r="F399">
        <v>2</v>
      </c>
    </row>
    <row r="400" spans="1:6" x14ac:dyDescent="0.25">
      <c r="A400" s="1">
        <v>45696</v>
      </c>
      <c r="B400" t="s">
        <v>9</v>
      </c>
      <c r="C400">
        <v>88</v>
      </c>
      <c r="D400">
        <v>109</v>
      </c>
      <c r="E400">
        <v>6</v>
      </c>
      <c r="F400">
        <v>2</v>
      </c>
    </row>
    <row r="401" spans="1:6" x14ac:dyDescent="0.25">
      <c r="A401" s="1">
        <v>45697</v>
      </c>
      <c r="B401" t="s">
        <v>9</v>
      </c>
      <c r="C401">
        <v>83</v>
      </c>
      <c r="D401">
        <v>109</v>
      </c>
      <c r="E401">
        <v>6</v>
      </c>
      <c r="F401">
        <v>2</v>
      </c>
    </row>
    <row r="402" spans="1:6" x14ac:dyDescent="0.25">
      <c r="A402" s="1">
        <v>45698</v>
      </c>
      <c r="B402" t="s">
        <v>9</v>
      </c>
      <c r="C402">
        <v>65</v>
      </c>
      <c r="D402">
        <v>111</v>
      </c>
      <c r="E402">
        <v>7</v>
      </c>
      <c r="F402">
        <v>2</v>
      </c>
    </row>
    <row r="403" spans="1:6" x14ac:dyDescent="0.25">
      <c r="A403" s="1">
        <v>45699</v>
      </c>
      <c r="B403" t="s">
        <v>9</v>
      </c>
      <c r="C403">
        <v>68</v>
      </c>
      <c r="D403">
        <v>111</v>
      </c>
      <c r="E403">
        <v>7</v>
      </c>
      <c r="F403">
        <v>2</v>
      </c>
    </row>
    <row r="404" spans="1:6" x14ac:dyDescent="0.25">
      <c r="A404" s="1">
        <v>45700</v>
      </c>
      <c r="B404" t="s">
        <v>9</v>
      </c>
      <c r="C404">
        <v>83</v>
      </c>
      <c r="D404">
        <v>121</v>
      </c>
      <c r="E404">
        <v>7</v>
      </c>
      <c r="F404">
        <v>2</v>
      </c>
    </row>
    <row r="405" spans="1:6" x14ac:dyDescent="0.25">
      <c r="A405" s="1">
        <v>45701</v>
      </c>
      <c r="B405" t="s">
        <v>9</v>
      </c>
      <c r="C405">
        <v>81</v>
      </c>
      <c r="D405">
        <v>102</v>
      </c>
      <c r="E405">
        <v>7</v>
      </c>
      <c r="F405">
        <v>2</v>
      </c>
    </row>
    <row r="406" spans="1:6" x14ac:dyDescent="0.25">
      <c r="A406" s="1">
        <v>45702</v>
      </c>
      <c r="B406" t="s">
        <v>9</v>
      </c>
      <c r="C406">
        <v>70</v>
      </c>
      <c r="D406">
        <v>119</v>
      </c>
      <c r="E406">
        <v>7</v>
      </c>
      <c r="F406">
        <v>2</v>
      </c>
    </row>
    <row r="407" spans="1:6" x14ac:dyDescent="0.25">
      <c r="A407" s="1">
        <v>45703</v>
      </c>
      <c r="B407" t="s">
        <v>9</v>
      </c>
      <c r="C407">
        <v>81</v>
      </c>
      <c r="D407">
        <v>120</v>
      </c>
      <c r="E407">
        <v>7</v>
      </c>
      <c r="F407">
        <v>2</v>
      </c>
    </row>
    <row r="408" spans="1:6" x14ac:dyDescent="0.25">
      <c r="A408" s="1">
        <v>45704</v>
      </c>
      <c r="B408" t="s">
        <v>9</v>
      </c>
      <c r="C408">
        <v>79</v>
      </c>
      <c r="D408">
        <v>125</v>
      </c>
      <c r="E408">
        <v>7</v>
      </c>
      <c r="F408">
        <v>2</v>
      </c>
    </row>
    <row r="409" spans="1:6" x14ac:dyDescent="0.25">
      <c r="A409" s="1">
        <v>45705</v>
      </c>
      <c r="B409" t="s">
        <v>9</v>
      </c>
      <c r="C409">
        <v>64</v>
      </c>
      <c r="D409">
        <v>100</v>
      </c>
      <c r="E409">
        <v>8</v>
      </c>
      <c r="F409">
        <v>2</v>
      </c>
    </row>
    <row r="410" spans="1:6" x14ac:dyDescent="0.25">
      <c r="A410" s="1">
        <v>45706</v>
      </c>
      <c r="B410" t="s">
        <v>9</v>
      </c>
      <c r="C410">
        <v>76</v>
      </c>
      <c r="D410">
        <v>121</v>
      </c>
      <c r="E410">
        <v>8</v>
      </c>
      <c r="F410">
        <v>2</v>
      </c>
    </row>
    <row r="411" spans="1:6" x14ac:dyDescent="0.25">
      <c r="A411" s="1">
        <v>45707</v>
      </c>
      <c r="B411" t="s">
        <v>9</v>
      </c>
      <c r="C411">
        <v>59</v>
      </c>
      <c r="D411">
        <v>92</v>
      </c>
      <c r="E411">
        <v>8</v>
      </c>
      <c r="F411">
        <v>2</v>
      </c>
    </row>
    <row r="412" spans="1:6" x14ac:dyDescent="0.25">
      <c r="A412" s="1">
        <v>45708</v>
      </c>
      <c r="B412" t="s">
        <v>9</v>
      </c>
      <c r="C412">
        <v>81</v>
      </c>
      <c r="D412">
        <v>129</v>
      </c>
      <c r="E412">
        <v>8</v>
      </c>
      <c r="F412">
        <v>2</v>
      </c>
    </row>
    <row r="413" spans="1:6" x14ac:dyDescent="0.25">
      <c r="A413" s="1">
        <v>45709</v>
      </c>
      <c r="B413" t="s">
        <v>9</v>
      </c>
      <c r="C413">
        <v>71</v>
      </c>
      <c r="D413">
        <v>91</v>
      </c>
      <c r="E413">
        <v>8</v>
      </c>
      <c r="F413">
        <v>2</v>
      </c>
    </row>
    <row r="414" spans="1:6" x14ac:dyDescent="0.25">
      <c r="A414" s="1">
        <v>45710</v>
      </c>
      <c r="B414" t="s">
        <v>9</v>
      </c>
      <c r="C414">
        <v>69</v>
      </c>
      <c r="D414">
        <v>107</v>
      </c>
      <c r="E414">
        <v>8</v>
      </c>
      <c r="F414">
        <v>2</v>
      </c>
    </row>
    <row r="415" spans="1:6" x14ac:dyDescent="0.25">
      <c r="A415" s="1">
        <v>45711</v>
      </c>
      <c r="B415" t="s">
        <v>9</v>
      </c>
      <c r="C415">
        <v>67</v>
      </c>
      <c r="D415">
        <v>88</v>
      </c>
      <c r="E415">
        <v>8</v>
      </c>
      <c r="F415">
        <v>2</v>
      </c>
    </row>
    <row r="416" spans="1:6" x14ac:dyDescent="0.25">
      <c r="A416" s="1">
        <v>45712</v>
      </c>
      <c r="B416" t="s">
        <v>9</v>
      </c>
      <c r="C416">
        <v>72</v>
      </c>
      <c r="D416">
        <v>98</v>
      </c>
      <c r="E416">
        <v>9</v>
      </c>
      <c r="F416">
        <v>2</v>
      </c>
    </row>
    <row r="417" spans="1:6" x14ac:dyDescent="0.25">
      <c r="A417" s="1">
        <v>45713</v>
      </c>
      <c r="B417" t="s">
        <v>9</v>
      </c>
      <c r="C417">
        <v>75</v>
      </c>
      <c r="D417">
        <v>105</v>
      </c>
      <c r="E417">
        <v>9</v>
      </c>
      <c r="F417">
        <v>2</v>
      </c>
    </row>
    <row r="418" spans="1:6" x14ac:dyDescent="0.25">
      <c r="A418" s="1">
        <v>45714</v>
      </c>
      <c r="B418" t="s">
        <v>9</v>
      </c>
      <c r="C418">
        <v>66</v>
      </c>
      <c r="D418">
        <v>99</v>
      </c>
      <c r="E418">
        <v>9</v>
      </c>
      <c r="F418">
        <v>2</v>
      </c>
    </row>
    <row r="419" spans="1:6" x14ac:dyDescent="0.25">
      <c r="A419" s="1">
        <v>45715</v>
      </c>
      <c r="B419" t="s">
        <v>9</v>
      </c>
      <c r="C419">
        <v>67</v>
      </c>
      <c r="D419">
        <v>89</v>
      </c>
      <c r="E419">
        <v>9</v>
      </c>
      <c r="F419">
        <v>2</v>
      </c>
    </row>
    <row r="420" spans="1:6" x14ac:dyDescent="0.25">
      <c r="A420" s="1">
        <v>45716</v>
      </c>
      <c r="B420" t="s">
        <v>9</v>
      </c>
      <c r="C420">
        <v>93</v>
      </c>
      <c r="D420">
        <v>140</v>
      </c>
      <c r="E420">
        <v>9</v>
      </c>
      <c r="F420">
        <v>2</v>
      </c>
    </row>
    <row r="421" spans="1:6" x14ac:dyDescent="0.25">
      <c r="A421" s="1">
        <v>45717</v>
      </c>
      <c r="B421" t="s">
        <v>9</v>
      </c>
      <c r="C421">
        <v>81</v>
      </c>
      <c r="D421">
        <v>127</v>
      </c>
      <c r="E421">
        <v>9</v>
      </c>
      <c r="F421">
        <v>3</v>
      </c>
    </row>
    <row r="422" spans="1:6" x14ac:dyDescent="0.25">
      <c r="A422" s="1">
        <v>45718</v>
      </c>
      <c r="B422" t="s">
        <v>9</v>
      </c>
      <c r="C422">
        <v>72</v>
      </c>
      <c r="D422">
        <v>106</v>
      </c>
      <c r="E422">
        <v>9</v>
      </c>
      <c r="F422">
        <v>3</v>
      </c>
    </row>
    <row r="423" spans="1:6" x14ac:dyDescent="0.25">
      <c r="A423" s="1">
        <v>45719</v>
      </c>
      <c r="B423" t="s">
        <v>9</v>
      </c>
      <c r="C423">
        <v>80</v>
      </c>
      <c r="D423">
        <v>116</v>
      </c>
      <c r="E423">
        <v>10</v>
      </c>
      <c r="F423">
        <v>3</v>
      </c>
    </row>
    <row r="424" spans="1:6" x14ac:dyDescent="0.25">
      <c r="A424" s="1">
        <v>45720</v>
      </c>
      <c r="B424" t="s">
        <v>9</v>
      </c>
      <c r="C424">
        <v>78</v>
      </c>
      <c r="D424">
        <v>112</v>
      </c>
      <c r="E424">
        <v>10</v>
      </c>
      <c r="F424">
        <v>3</v>
      </c>
    </row>
    <row r="425" spans="1:6" x14ac:dyDescent="0.25">
      <c r="A425" s="1">
        <v>45721</v>
      </c>
      <c r="B425" t="s">
        <v>9</v>
      </c>
      <c r="C425">
        <v>73</v>
      </c>
      <c r="D425">
        <v>120</v>
      </c>
      <c r="E425">
        <v>10</v>
      </c>
      <c r="F425">
        <v>3</v>
      </c>
    </row>
    <row r="426" spans="1:6" x14ac:dyDescent="0.25">
      <c r="A426" s="1">
        <v>45722</v>
      </c>
      <c r="B426" t="s">
        <v>9</v>
      </c>
      <c r="C426">
        <v>65</v>
      </c>
      <c r="D426">
        <v>105</v>
      </c>
      <c r="E426">
        <v>10</v>
      </c>
      <c r="F426">
        <v>3</v>
      </c>
    </row>
    <row r="427" spans="1:6" x14ac:dyDescent="0.25">
      <c r="A427" s="1">
        <v>45723</v>
      </c>
      <c r="B427" t="s">
        <v>9</v>
      </c>
      <c r="C427">
        <v>64</v>
      </c>
      <c r="D427">
        <v>101</v>
      </c>
      <c r="E427">
        <v>10</v>
      </c>
      <c r="F427">
        <v>3</v>
      </c>
    </row>
    <row r="428" spans="1:6" x14ac:dyDescent="0.25">
      <c r="A428" s="1">
        <v>45724</v>
      </c>
      <c r="B428" t="s">
        <v>9</v>
      </c>
      <c r="C428">
        <v>81</v>
      </c>
      <c r="D428">
        <v>112</v>
      </c>
      <c r="E428">
        <v>10</v>
      </c>
      <c r="F428">
        <v>3</v>
      </c>
    </row>
    <row r="429" spans="1:6" x14ac:dyDescent="0.25">
      <c r="A429" s="1">
        <v>45725</v>
      </c>
      <c r="B429" t="s">
        <v>9</v>
      </c>
      <c r="C429">
        <v>77</v>
      </c>
      <c r="D429">
        <v>121</v>
      </c>
      <c r="E429">
        <v>10</v>
      </c>
      <c r="F429">
        <v>3</v>
      </c>
    </row>
    <row r="430" spans="1:6" x14ac:dyDescent="0.25">
      <c r="A430" s="1">
        <v>45726</v>
      </c>
      <c r="B430" t="s">
        <v>9</v>
      </c>
      <c r="C430">
        <v>77</v>
      </c>
      <c r="D430">
        <v>105</v>
      </c>
      <c r="E430">
        <v>11</v>
      </c>
      <c r="F430">
        <v>3</v>
      </c>
    </row>
    <row r="431" spans="1:6" x14ac:dyDescent="0.25">
      <c r="A431" s="1">
        <v>45727</v>
      </c>
      <c r="B431" t="s">
        <v>9</v>
      </c>
      <c r="C431">
        <v>66</v>
      </c>
      <c r="D431">
        <v>107</v>
      </c>
      <c r="E431">
        <v>11</v>
      </c>
      <c r="F431">
        <v>3</v>
      </c>
    </row>
    <row r="432" spans="1:6" x14ac:dyDescent="0.25">
      <c r="A432" s="1">
        <v>45728</v>
      </c>
      <c r="B432" t="s">
        <v>9</v>
      </c>
      <c r="C432">
        <v>76</v>
      </c>
      <c r="D432">
        <v>119</v>
      </c>
      <c r="E432">
        <v>11</v>
      </c>
      <c r="F432">
        <v>3</v>
      </c>
    </row>
    <row r="433" spans="1:6" x14ac:dyDescent="0.25">
      <c r="A433" s="1">
        <v>45729</v>
      </c>
      <c r="B433" t="s">
        <v>9</v>
      </c>
      <c r="C433">
        <v>64</v>
      </c>
      <c r="D433">
        <v>113</v>
      </c>
      <c r="E433">
        <v>11</v>
      </c>
      <c r="F433">
        <v>3</v>
      </c>
    </row>
    <row r="434" spans="1:6" x14ac:dyDescent="0.25">
      <c r="A434" s="1">
        <v>45730</v>
      </c>
      <c r="B434" t="s">
        <v>9</v>
      </c>
      <c r="C434">
        <v>71</v>
      </c>
      <c r="D434">
        <v>96</v>
      </c>
      <c r="E434">
        <v>11</v>
      </c>
      <c r="F434">
        <v>3</v>
      </c>
    </row>
    <row r="435" spans="1:6" x14ac:dyDescent="0.25">
      <c r="A435" s="1">
        <v>45731</v>
      </c>
      <c r="B435" t="s">
        <v>9</v>
      </c>
      <c r="C435">
        <v>68</v>
      </c>
      <c r="D435">
        <v>88</v>
      </c>
      <c r="E435">
        <v>11</v>
      </c>
      <c r="F435">
        <v>3</v>
      </c>
    </row>
    <row r="436" spans="1:6" x14ac:dyDescent="0.25">
      <c r="A436" s="1">
        <v>45732</v>
      </c>
      <c r="B436" t="s">
        <v>9</v>
      </c>
      <c r="C436">
        <v>80</v>
      </c>
      <c r="D436">
        <v>108</v>
      </c>
      <c r="E436">
        <v>11</v>
      </c>
      <c r="F436">
        <v>3</v>
      </c>
    </row>
    <row r="437" spans="1:6" x14ac:dyDescent="0.25">
      <c r="A437" s="1">
        <v>45733</v>
      </c>
      <c r="B437" t="s">
        <v>9</v>
      </c>
      <c r="C437">
        <v>63</v>
      </c>
      <c r="D437">
        <v>104</v>
      </c>
      <c r="E437">
        <v>12</v>
      </c>
      <c r="F437">
        <v>3</v>
      </c>
    </row>
    <row r="438" spans="1:6" x14ac:dyDescent="0.25">
      <c r="A438" s="1">
        <v>45734</v>
      </c>
      <c r="B438" t="s">
        <v>9</v>
      </c>
      <c r="C438">
        <v>66</v>
      </c>
      <c r="D438">
        <v>93</v>
      </c>
      <c r="E438">
        <v>12</v>
      </c>
      <c r="F438">
        <v>3</v>
      </c>
    </row>
    <row r="439" spans="1:6" x14ac:dyDescent="0.25">
      <c r="A439" s="1">
        <v>45735</v>
      </c>
      <c r="B439" t="s">
        <v>9</v>
      </c>
      <c r="C439">
        <v>74</v>
      </c>
      <c r="D439">
        <v>106</v>
      </c>
      <c r="E439">
        <v>12</v>
      </c>
      <c r="F439">
        <v>3</v>
      </c>
    </row>
    <row r="440" spans="1:6" x14ac:dyDescent="0.25">
      <c r="A440" s="1">
        <v>45736</v>
      </c>
      <c r="B440" t="s">
        <v>9</v>
      </c>
      <c r="C440">
        <v>59</v>
      </c>
      <c r="D440">
        <v>104</v>
      </c>
      <c r="E440">
        <v>12</v>
      </c>
      <c r="F440">
        <v>3</v>
      </c>
    </row>
    <row r="441" spans="1:6" x14ac:dyDescent="0.25">
      <c r="A441" s="1">
        <v>45737</v>
      </c>
      <c r="B441" t="s">
        <v>9</v>
      </c>
      <c r="C441">
        <v>71</v>
      </c>
      <c r="D441">
        <v>97</v>
      </c>
      <c r="E441">
        <v>12</v>
      </c>
      <c r="F441">
        <v>3</v>
      </c>
    </row>
    <row r="442" spans="1:6" x14ac:dyDescent="0.25">
      <c r="A442" s="1">
        <v>45738</v>
      </c>
      <c r="B442" t="s">
        <v>9</v>
      </c>
      <c r="C442">
        <v>66</v>
      </c>
      <c r="D442">
        <v>100</v>
      </c>
      <c r="E442">
        <v>12</v>
      </c>
      <c r="F442">
        <v>3</v>
      </c>
    </row>
    <row r="443" spans="1:6" x14ac:dyDescent="0.25">
      <c r="A443" s="1">
        <v>45739</v>
      </c>
      <c r="B443" t="s">
        <v>9</v>
      </c>
      <c r="C443">
        <v>66</v>
      </c>
      <c r="D443">
        <v>102</v>
      </c>
      <c r="E443">
        <v>12</v>
      </c>
      <c r="F443">
        <v>3</v>
      </c>
    </row>
    <row r="444" spans="1:6" x14ac:dyDescent="0.25">
      <c r="A444" s="1">
        <v>45740</v>
      </c>
      <c r="B444" t="s">
        <v>9</v>
      </c>
      <c r="C444">
        <v>94</v>
      </c>
      <c r="D444">
        <v>140</v>
      </c>
      <c r="E444">
        <v>13</v>
      </c>
      <c r="F444">
        <v>3</v>
      </c>
    </row>
    <row r="445" spans="1:6" x14ac:dyDescent="0.25">
      <c r="A445" s="1">
        <v>45741</v>
      </c>
      <c r="B445" t="s">
        <v>9</v>
      </c>
      <c r="C445">
        <v>55</v>
      </c>
      <c r="D445">
        <v>92</v>
      </c>
      <c r="E445">
        <v>13</v>
      </c>
      <c r="F445">
        <v>3</v>
      </c>
    </row>
    <row r="446" spans="1:6" x14ac:dyDescent="0.25">
      <c r="A446" s="1">
        <v>45742</v>
      </c>
      <c r="B446" t="s">
        <v>9</v>
      </c>
      <c r="C446">
        <v>77</v>
      </c>
      <c r="D446">
        <v>111</v>
      </c>
      <c r="E446">
        <v>13</v>
      </c>
      <c r="F446">
        <v>3</v>
      </c>
    </row>
    <row r="447" spans="1:6" x14ac:dyDescent="0.25">
      <c r="A447" s="1">
        <v>45743</v>
      </c>
      <c r="B447" t="s">
        <v>9</v>
      </c>
      <c r="C447">
        <v>83</v>
      </c>
      <c r="D447">
        <v>122</v>
      </c>
      <c r="E447">
        <v>13</v>
      </c>
      <c r="F447">
        <v>3</v>
      </c>
    </row>
    <row r="448" spans="1:6" x14ac:dyDescent="0.25">
      <c r="A448" s="1">
        <v>45744</v>
      </c>
      <c r="B448" t="s">
        <v>9</v>
      </c>
      <c r="C448">
        <v>75</v>
      </c>
      <c r="D448">
        <v>116</v>
      </c>
      <c r="E448">
        <v>13</v>
      </c>
      <c r="F448">
        <v>3</v>
      </c>
    </row>
    <row r="449" spans="1:6" x14ac:dyDescent="0.25">
      <c r="A449" s="1">
        <v>45745</v>
      </c>
      <c r="B449" t="s">
        <v>9</v>
      </c>
      <c r="C449">
        <v>73</v>
      </c>
      <c r="D449">
        <v>101</v>
      </c>
      <c r="E449">
        <v>13</v>
      </c>
      <c r="F449">
        <v>3</v>
      </c>
    </row>
    <row r="450" spans="1:6" x14ac:dyDescent="0.25">
      <c r="A450" s="1">
        <v>45746</v>
      </c>
      <c r="B450" t="s">
        <v>9</v>
      </c>
      <c r="C450">
        <v>64</v>
      </c>
      <c r="D450">
        <v>101</v>
      </c>
      <c r="E450">
        <v>13</v>
      </c>
      <c r="F450">
        <v>3</v>
      </c>
    </row>
    <row r="451" spans="1:6" x14ac:dyDescent="0.25">
      <c r="A451" s="1">
        <v>45747</v>
      </c>
      <c r="B451" t="s">
        <v>9</v>
      </c>
      <c r="C451">
        <v>57</v>
      </c>
      <c r="D451">
        <v>89</v>
      </c>
      <c r="E451">
        <v>14</v>
      </c>
      <c r="F451">
        <v>3</v>
      </c>
    </row>
    <row r="452" spans="1:6" x14ac:dyDescent="0.25">
      <c r="A452" s="1">
        <v>45748</v>
      </c>
      <c r="B452" t="s">
        <v>9</v>
      </c>
      <c r="C452">
        <v>73</v>
      </c>
      <c r="D452">
        <v>111</v>
      </c>
      <c r="E452">
        <v>14</v>
      </c>
      <c r="F452">
        <v>4</v>
      </c>
    </row>
    <row r="453" spans="1:6" x14ac:dyDescent="0.25">
      <c r="A453" s="1">
        <v>45749</v>
      </c>
      <c r="B453" t="s">
        <v>9</v>
      </c>
      <c r="C453">
        <v>65</v>
      </c>
      <c r="D453">
        <v>107</v>
      </c>
      <c r="E453">
        <v>14</v>
      </c>
      <c r="F453">
        <v>4</v>
      </c>
    </row>
    <row r="454" spans="1:6" x14ac:dyDescent="0.25">
      <c r="A454" s="1">
        <v>45750</v>
      </c>
      <c r="B454" t="s">
        <v>9</v>
      </c>
      <c r="C454">
        <v>53</v>
      </c>
      <c r="D454">
        <v>78</v>
      </c>
      <c r="E454">
        <v>14</v>
      </c>
      <c r="F454">
        <v>4</v>
      </c>
    </row>
    <row r="455" spans="1:6" x14ac:dyDescent="0.25">
      <c r="A455" s="1">
        <v>45751</v>
      </c>
      <c r="B455" t="s">
        <v>9</v>
      </c>
      <c r="C455">
        <v>80</v>
      </c>
      <c r="D455">
        <v>123</v>
      </c>
      <c r="E455">
        <v>14</v>
      </c>
      <c r="F455">
        <v>4</v>
      </c>
    </row>
    <row r="456" spans="1:6" x14ac:dyDescent="0.25">
      <c r="A456" s="1">
        <v>45752</v>
      </c>
      <c r="B456" t="s">
        <v>9</v>
      </c>
      <c r="C456">
        <v>66</v>
      </c>
      <c r="D456">
        <v>114</v>
      </c>
      <c r="E456">
        <v>14</v>
      </c>
      <c r="F456">
        <v>4</v>
      </c>
    </row>
    <row r="457" spans="1:6" x14ac:dyDescent="0.25">
      <c r="A457" s="1">
        <v>45753</v>
      </c>
      <c r="B457" t="s">
        <v>9</v>
      </c>
      <c r="C457">
        <v>72</v>
      </c>
      <c r="D457">
        <v>98</v>
      </c>
      <c r="E457">
        <v>14</v>
      </c>
      <c r="F457">
        <v>4</v>
      </c>
    </row>
    <row r="458" spans="1:6" x14ac:dyDescent="0.25">
      <c r="A458" s="1">
        <v>45754</v>
      </c>
      <c r="B458" t="s">
        <v>9</v>
      </c>
      <c r="C458">
        <v>73</v>
      </c>
      <c r="D458">
        <v>118</v>
      </c>
      <c r="E458">
        <v>15</v>
      </c>
      <c r="F458">
        <v>4</v>
      </c>
    </row>
    <row r="459" spans="1:6" x14ac:dyDescent="0.25">
      <c r="A459" s="1">
        <v>45755</v>
      </c>
      <c r="B459" t="s">
        <v>9</v>
      </c>
      <c r="C459">
        <v>80</v>
      </c>
      <c r="D459">
        <v>103</v>
      </c>
      <c r="E459">
        <v>15</v>
      </c>
      <c r="F459">
        <v>4</v>
      </c>
    </row>
    <row r="460" spans="1:6" x14ac:dyDescent="0.25">
      <c r="A460" s="1">
        <v>45756</v>
      </c>
      <c r="B460" t="s">
        <v>9</v>
      </c>
      <c r="C460">
        <v>80</v>
      </c>
      <c r="D460">
        <v>127</v>
      </c>
      <c r="E460">
        <v>15</v>
      </c>
      <c r="F460">
        <v>4</v>
      </c>
    </row>
    <row r="461" spans="1:6" x14ac:dyDescent="0.25">
      <c r="A461" s="1">
        <v>45757</v>
      </c>
      <c r="B461" t="s">
        <v>9</v>
      </c>
      <c r="C461">
        <v>76</v>
      </c>
      <c r="D461">
        <v>116</v>
      </c>
      <c r="E461">
        <v>15</v>
      </c>
      <c r="F461">
        <v>4</v>
      </c>
    </row>
    <row r="462" spans="1:6" x14ac:dyDescent="0.25">
      <c r="A462" s="1">
        <v>45758</v>
      </c>
      <c r="B462" t="s">
        <v>9</v>
      </c>
      <c r="C462">
        <v>71</v>
      </c>
      <c r="D462">
        <v>105</v>
      </c>
      <c r="E462">
        <v>15</v>
      </c>
      <c r="F462">
        <v>4</v>
      </c>
    </row>
    <row r="463" spans="1:6" x14ac:dyDescent="0.25">
      <c r="A463" s="1">
        <v>45759</v>
      </c>
      <c r="B463" t="s">
        <v>9</v>
      </c>
      <c r="C463">
        <v>87</v>
      </c>
      <c r="D463">
        <v>116</v>
      </c>
      <c r="E463">
        <v>15</v>
      </c>
      <c r="F463">
        <v>4</v>
      </c>
    </row>
    <row r="464" spans="1:6" x14ac:dyDescent="0.25">
      <c r="A464" s="1">
        <v>45760</v>
      </c>
      <c r="B464" t="s">
        <v>9</v>
      </c>
      <c r="C464">
        <v>70</v>
      </c>
      <c r="D464">
        <v>107</v>
      </c>
      <c r="E464">
        <v>15</v>
      </c>
      <c r="F464">
        <v>4</v>
      </c>
    </row>
    <row r="465" spans="1:6" x14ac:dyDescent="0.25">
      <c r="A465" s="1">
        <v>45761</v>
      </c>
      <c r="B465" t="s">
        <v>9</v>
      </c>
      <c r="C465">
        <v>77</v>
      </c>
      <c r="D465">
        <v>99</v>
      </c>
      <c r="E465">
        <v>16</v>
      </c>
      <c r="F465">
        <v>4</v>
      </c>
    </row>
    <row r="466" spans="1:6" x14ac:dyDescent="0.25">
      <c r="A466" s="1">
        <v>45762</v>
      </c>
      <c r="B466" t="s">
        <v>9</v>
      </c>
      <c r="C466">
        <v>81</v>
      </c>
      <c r="D466">
        <v>130</v>
      </c>
      <c r="E466">
        <v>16</v>
      </c>
      <c r="F466">
        <v>4</v>
      </c>
    </row>
    <row r="467" spans="1:6" x14ac:dyDescent="0.25">
      <c r="A467" s="1">
        <v>45763</v>
      </c>
      <c r="B467" t="s">
        <v>9</v>
      </c>
      <c r="C467">
        <v>65</v>
      </c>
      <c r="D467">
        <v>98</v>
      </c>
      <c r="E467">
        <v>16</v>
      </c>
      <c r="F467">
        <v>4</v>
      </c>
    </row>
    <row r="468" spans="1:6" x14ac:dyDescent="0.25">
      <c r="A468" s="1">
        <v>45764</v>
      </c>
      <c r="B468" t="s">
        <v>9</v>
      </c>
      <c r="C468">
        <v>74</v>
      </c>
      <c r="D468">
        <v>99</v>
      </c>
      <c r="E468">
        <v>16</v>
      </c>
      <c r="F468">
        <v>4</v>
      </c>
    </row>
    <row r="469" spans="1:6" x14ac:dyDescent="0.25">
      <c r="A469" s="1">
        <v>45765</v>
      </c>
      <c r="B469" t="s">
        <v>9</v>
      </c>
      <c r="C469">
        <v>74</v>
      </c>
      <c r="D469">
        <v>121</v>
      </c>
      <c r="E469">
        <v>16</v>
      </c>
      <c r="F469">
        <v>4</v>
      </c>
    </row>
    <row r="470" spans="1:6" x14ac:dyDescent="0.25">
      <c r="A470" s="1">
        <v>45766</v>
      </c>
      <c r="B470" t="s">
        <v>9</v>
      </c>
      <c r="C470">
        <v>72</v>
      </c>
      <c r="D470">
        <v>98</v>
      </c>
      <c r="E470">
        <v>16</v>
      </c>
      <c r="F470">
        <v>4</v>
      </c>
    </row>
    <row r="471" spans="1:6" x14ac:dyDescent="0.25">
      <c r="A471" s="1">
        <v>45767</v>
      </c>
      <c r="B471" t="s">
        <v>9</v>
      </c>
      <c r="C471">
        <v>70</v>
      </c>
      <c r="D471">
        <v>95</v>
      </c>
      <c r="E471">
        <v>16</v>
      </c>
      <c r="F471">
        <v>4</v>
      </c>
    </row>
    <row r="472" spans="1:6" x14ac:dyDescent="0.25">
      <c r="A472" s="1">
        <v>45768</v>
      </c>
      <c r="B472" t="s">
        <v>9</v>
      </c>
      <c r="C472">
        <v>78</v>
      </c>
      <c r="D472">
        <v>125</v>
      </c>
      <c r="E472">
        <v>17</v>
      </c>
      <c r="F472">
        <v>4</v>
      </c>
    </row>
    <row r="473" spans="1:6" x14ac:dyDescent="0.25">
      <c r="A473" s="1">
        <v>45769</v>
      </c>
      <c r="B473" t="s">
        <v>9</v>
      </c>
      <c r="C473">
        <v>67</v>
      </c>
      <c r="D473">
        <v>87</v>
      </c>
      <c r="E473">
        <v>17</v>
      </c>
      <c r="F473">
        <v>4</v>
      </c>
    </row>
    <row r="474" spans="1:6" x14ac:dyDescent="0.25">
      <c r="A474" s="1">
        <v>45770</v>
      </c>
      <c r="B474" t="s">
        <v>9</v>
      </c>
      <c r="C474">
        <v>81</v>
      </c>
      <c r="D474">
        <v>113</v>
      </c>
      <c r="E474">
        <v>17</v>
      </c>
      <c r="F474">
        <v>4</v>
      </c>
    </row>
    <row r="475" spans="1:6" x14ac:dyDescent="0.25">
      <c r="A475" s="1">
        <v>45771</v>
      </c>
      <c r="B475" t="s">
        <v>9</v>
      </c>
      <c r="C475">
        <v>67</v>
      </c>
      <c r="D475">
        <v>96</v>
      </c>
      <c r="E475">
        <v>17</v>
      </c>
      <c r="F475">
        <v>4</v>
      </c>
    </row>
    <row r="476" spans="1:6" x14ac:dyDescent="0.25">
      <c r="A476" s="1">
        <v>45772</v>
      </c>
      <c r="B476" t="s">
        <v>9</v>
      </c>
      <c r="C476">
        <v>58</v>
      </c>
      <c r="D476">
        <v>87</v>
      </c>
      <c r="E476">
        <v>17</v>
      </c>
      <c r="F476">
        <v>4</v>
      </c>
    </row>
    <row r="477" spans="1:6" x14ac:dyDescent="0.25">
      <c r="A477" s="1">
        <v>45773</v>
      </c>
      <c r="B477" t="s">
        <v>9</v>
      </c>
      <c r="C477">
        <v>73</v>
      </c>
      <c r="D477">
        <v>101</v>
      </c>
      <c r="E477">
        <v>17</v>
      </c>
      <c r="F477">
        <v>4</v>
      </c>
    </row>
    <row r="478" spans="1:6" x14ac:dyDescent="0.25">
      <c r="A478" s="1">
        <v>45774</v>
      </c>
      <c r="B478" t="s">
        <v>9</v>
      </c>
      <c r="C478">
        <v>72</v>
      </c>
      <c r="D478">
        <v>102</v>
      </c>
      <c r="E478">
        <v>17</v>
      </c>
      <c r="F478">
        <v>4</v>
      </c>
    </row>
    <row r="479" spans="1:6" x14ac:dyDescent="0.25">
      <c r="A479" s="1">
        <v>45775</v>
      </c>
      <c r="B479" t="s">
        <v>9</v>
      </c>
      <c r="C479">
        <v>93</v>
      </c>
      <c r="D479">
        <v>134</v>
      </c>
      <c r="E479">
        <v>18</v>
      </c>
      <c r="F479">
        <v>4</v>
      </c>
    </row>
    <row r="480" spans="1:6" x14ac:dyDescent="0.25">
      <c r="A480" s="1">
        <v>45776</v>
      </c>
      <c r="B480" t="s">
        <v>9</v>
      </c>
      <c r="C480">
        <v>64</v>
      </c>
      <c r="D480">
        <v>88</v>
      </c>
      <c r="E480">
        <v>18</v>
      </c>
      <c r="F480">
        <v>4</v>
      </c>
    </row>
    <row r="481" spans="1:6" x14ac:dyDescent="0.25">
      <c r="A481" s="1">
        <v>45777</v>
      </c>
      <c r="B481" t="s">
        <v>9</v>
      </c>
      <c r="C481">
        <v>70</v>
      </c>
      <c r="D481">
        <v>106</v>
      </c>
      <c r="E481">
        <v>18</v>
      </c>
      <c r="F481">
        <v>4</v>
      </c>
    </row>
    <row r="482" spans="1:6" x14ac:dyDescent="0.25">
      <c r="A482" s="1">
        <v>45658</v>
      </c>
      <c r="B482" t="s">
        <v>10</v>
      </c>
      <c r="C482">
        <v>91</v>
      </c>
      <c r="D482">
        <v>116</v>
      </c>
      <c r="E482">
        <v>1</v>
      </c>
      <c r="F482">
        <v>1</v>
      </c>
    </row>
    <row r="483" spans="1:6" x14ac:dyDescent="0.25">
      <c r="A483" s="1">
        <v>45659</v>
      </c>
      <c r="B483" t="s">
        <v>10</v>
      </c>
      <c r="C483">
        <v>84</v>
      </c>
      <c r="D483">
        <v>121</v>
      </c>
      <c r="E483">
        <v>1</v>
      </c>
      <c r="F483">
        <v>1</v>
      </c>
    </row>
    <row r="484" spans="1:6" x14ac:dyDescent="0.25">
      <c r="A484" s="1">
        <v>45660</v>
      </c>
      <c r="B484" t="s">
        <v>10</v>
      </c>
      <c r="C484">
        <v>85</v>
      </c>
      <c r="D484">
        <v>105</v>
      </c>
      <c r="E484">
        <v>1</v>
      </c>
      <c r="F484">
        <v>1</v>
      </c>
    </row>
    <row r="485" spans="1:6" x14ac:dyDescent="0.25">
      <c r="A485" s="1">
        <v>45661</v>
      </c>
      <c r="B485" t="s">
        <v>10</v>
      </c>
      <c r="C485">
        <v>80</v>
      </c>
      <c r="D485">
        <v>120</v>
      </c>
      <c r="E485">
        <v>1</v>
      </c>
      <c r="F485">
        <v>1</v>
      </c>
    </row>
    <row r="486" spans="1:6" x14ac:dyDescent="0.25">
      <c r="A486" s="1">
        <v>45662</v>
      </c>
      <c r="B486" t="s">
        <v>10</v>
      </c>
      <c r="C486">
        <v>77</v>
      </c>
      <c r="D486">
        <v>115</v>
      </c>
      <c r="E486">
        <v>1</v>
      </c>
      <c r="F486">
        <v>1</v>
      </c>
    </row>
    <row r="487" spans="1:6" x14ac:dyDescent="0.25">
      <c r="A487" s="1">
        <v>45663</v>
      </c>
      <c r="B487" t="s">
        <v>10</v>
      </c>
      <c r="C487">
        <v>69</v>
      </c>
      <c r="D487">
        <v>109</v>
      </c>
      <c r="E487">
        <v>2</v>
      </c>
      <c r="F487">
        <v>1</v>
      </c>
    </row>
    <row r="488" spans="1:6" x14ac:dyDescent="0.25">
      <c r="A488" s="1">
        <v>45664</v>
      </c>
      <c r="B488" t="s">
        <v>10</v>
      </c>
      <c r="C488">
        <v>92</v>
      </c>
      <c r="D488">
        <v>141</v>
      </c>
      <c r="E488">
        <v>2</v>
      </c>
      <c r="F488">
        <v>1</v>
      </c>
    </row>
    <row r="489" spans="1:6" x14ac:dyDescent="0.25">
      <c r="A489" s="1">
        <v>45665</v>
      </c>
      <c r="B489" t="s">
        <v>10</v>
      </c>
      <c r="C489">
        <v>115</v>
      </c>
      <c r="D489">
        <v>159</v>
      </c>
      <c r="E489">
        <v>2</v>
      </c>
      <c r="F489">
        <v>1</v>
      </c>
    </row>
    <row r="490" spans="1:6" x14ac:dyDescent="0.25">
      <c r="A490" s="1">
        <v>45666</v>
      </c>
      <c r="B490" t="s">
        <v>10</v>
      </c>
      <c r="C490">
        <v>95</v>
      </c>
      <c r="D490">
        <v>125</v>
      </c>
      <c r="E490">
        <v>2</v>
      </c>
      <c r="F490">
        <v>1</v>
      </c>
    </row>
    <row r="491" spans="1:6" x14ac:dyDescent="0.25">
      <c r="A491" s="1">
        <v>45667</v>
      </c>
      <c r="B491" t="s">
        <v>10</v>
      </c>
      <c r="C491">
        <v>93</v>
      </c>
      <c r="D491">
        <v>132</v>
      </c>
      <c r="E491">
        <v>2</v>
      </c>
      <c r="F491">
        <v>1</v>
      </c>
    </row>
    <row r="492" spans="1:6" x14ac:dyDescent="0.25">
      <c r="A492" s="1">
        <v>45668</v>
      </c>
      <c r="B492" t="s">
        <v>10</v>
      </c>
      <c r="C492">
        <v>80</v>
      </c>
      <c r="D492">
        <v>119</v>
      </c>
      <c r="E492">
        <v>2</v>
      </c>
      <c r="F492">
        <v>1</v>
      </c>
    </row>
    <row r="493" spans="1:6" x14ac:dyDescent="0.25">
      <c r="A493" s="1">
        <v>45669</v>
      </c>
      <c r="B493" t="s">
        <v>10</v>
      </c>
      <c r="C493">
        <v>99</v>
      </c>
      <c r="D493">
        <v>141</v>
      </c>
      <c r="E493">
        <v>2</v>
      </c>
      <c r="F493">
        <v>1</v>
      </c>
    </row>
    <row r="494" spans="1:6" x14ac:dyDescent="0.25">
      <c r="A494" s="1">
        <v>45670</v>
      </c>
      <c r="B494" t="s">
        <v>10</v>
      </c>
      <c r="C494">
        <v>82</v>
      </c>
      <c r="D494">
        <v>124</v>
      </c>
      <c r="E494">
        <v>3</v>
      </c>
      <c r="F494">
        <v>1</v>
      </c>
    </row>
    <row r="495" spans="1:6" x14ac:dyDescent="0.25">
      <c r="A495" s="1">
        <v>45671</v>
      </c>
      <c r="B495" t="s">
        <v>10</v>
      </c>
      <c r="C495">
        <v>98</v>
      </c>
      <c r="D495">
        <v>122</v>
      </c>
      <c r="E495">
        <v>3</v>
      </c>
      <c r="F495">
        <v>1</v>
      </c>
    </row>
    <row r="496" spans="1:6" x14ac:dyDescent="0.25">
      <c r="A496" s="1">
        <v>45672</v>
      </c>
      <c r="B496" t="s">
        <v>10</v>
      </c>
      <c r="C496">
        <v>119</v>
      </c>
      <c r="D496">
        <v>139</v>
      </c>
      <c r="E496">
        <v>3</v>
      </c>
      <c r="F496">
        <v>1</v>
      </c>
    </row>
    <row r="497" spans="1:6" x14ac:dyDescent="0.25">
      <c r="A497" s="1">
        <v>45673</v>
      </c>
      <c r="B497" t="s">
        <v>10</v>
      </c>
      <c r="C497">
        <v>98</v>
      </c>
      <c r="D497">
        <v>134</v>
      </c>
      <c r="E497">
        <v>3</v>
      </c>
      <c r="F497">
        <v>1</v>
      </c>
    </row>
    <row r="498" spans="1:6" x14ac:dyDescent="0.25">
      <c r="A498" s="1">
        <v>45674</v>
      </c>
      <c r="B498" t="s">
        <v>10</v>
      </c>
      <c r="C498">
        <v>101</v>
      </c>
      <c r="D498">
        <v>145</v>
      </c>
      <c r="E498">
        <v>3</v>
      </c>
      <c r="F498">
        <v>1</v>
      </c>
    </row>
    <row r="499" spans="1:6" x14ac:dyDescent="0.25">
      <c r="A499" s="1">
        <v>45675</v>
      </c>
      <c r="B499" t="s">
        <v>10</v>
      </c>
      <c r="C499">
        <v>98</v>
      </c>
      <c r="D499">
        <v>136</v>
      </c>
      <c r="E499">
        <v>3</v>
      </c>
      <c r="F499">
        <v>1</v>
      </c>
    </row>
    <row r="500" spans="1:6" x14ac:dyDescent="0.25">
      <c r="A500" s="1">
        <v>45676</v>
      </c>
      <c r="B500" t="s">
        <v>10</v>
      </c>
      <c r="C500">
        <v>98</v>
      </c>
      <c r="D500">
        <v>147</v>
      </c>
      <c r="E500">
        <v>3</v>
      </c>
      <c r="F500">
        <v>1</v>
      </c>
    </row>
    <row r="501" spans="1:6" x14ac:dyDescent="0.25">
      <c r="A501" s="1">
        <v>45677</v>
      </c>
      <c r="B501" t="s">
        <v>10</v>
      </c>
      <c r="C501">
        <v>90</v>
      </c>
      <c r="D501">
        <v>118</v>
      </c>
      <c r="E501">
        <v>4</v>
      </c>
      <c r="F501">
        <v>1</v>
      </c>
    </row>
    <row r="502" spans="1:6" x14ac:dyDescent="0.25">
      <c r="A502" s="1">
        <v>45678</v>
      </c>
      <c r="B502" t="s">
        <v>10</v>
      </c>
      <c r="C502">
        <v>77</v>
      </c>
      <c r="D502">
        <v>107</v>
      </c>
      <c r="E502">
        <v>4</v>
      </c>
      <c r="F502">
        <v>1</v>
      </c>
    </row>
    <row r="503" spans="1:6" x14ac:dyDescent="0.25">
      <c r="A503" s="1">
        <v>45679</v>
      </c>
      <c r="B503" t="s">
        <v>10</v>
      </c>
      <c r="C503">
        <v>106</v>
      </c>
      <c r="D503">
        <v>139</v>
      </c>
      <c r="E503">
        <v>4</v>
      </c>
      <c r="F503">
        <v>1</v>
      </c>
    </row>
    <row r="504" spans="1:6" x14ac:dyDescent="0.25">
      <c r="A504" s="1">
        <v>45680</v>
      </c>
      <c r="B504" t="s">
        <v>10</v>
      </c>
      <c r="C504">
        <v>110</v>
      </c>
      <c r="D504">
        <v>131</v>
      </c>
      <c r="E504">
        <v>4</v>
      </c>
      <c r="F504">
        <v>1</v>
      </c>
    </row>
    <row r="505" spans="1:6" x14ac:dyDescent="0.25">
      <c r="A505" s="1">
        <v>45681</v>
      </c>
      <c r="B505" t="s">
        <v>10</v>
      </c>
      <c r="C505">
        <v>101</v>
      </c>
      <c r="D505">
        <v>139</v>
      </c>
      <c r="E505">
        <v>4</v>
      </c>
      <c r="F505">
        <v>1</v>
      </c>
    </row>
    <row r="506" spans="1:6" x14ac:dyDescent="0.25">
      <c r="A506" s="1">
        <v>45682</v>
      </c>
      <c r="B506" t="s">
        <v>10</v>
      </c>
      <c r="C506">
        <v>105</v>
      </c>
      <c r="D506">
        <v>154</v>
      </c>
      <c r="E506">
        <v>4</v>
      </c>
      <c r="F506">
        <v>1</v>
      </c>
    </row>
    <row r="507" spans="1:6" x14ac:dyDescent="0.25">
      <c r="A507" s="1">
        <v>45683</v>
      </c>
      <c r="B507" t="s">
        <v>10</v>
      </c>
      <c r="C507">
        <v>94</v>
      </c>
      <c r="D507">
        <v>128</v>
      </c>
      <c r="E507">
        <v>4</v>
      </c>
      <c r="F507">
        <v>1</v>
      </c>
    </row>
    <row r="508" spans="1:6" x14ac:dyDescent="0.25">
      <c r="A508" s="1">
        <v>45684</v>
      </c>
      <c r="B508" t="s">
        <v>10</v>
      </c>
      <c r="C508">
        <v>97</v>
      </c>
      <c r="D508">
        <v>131</v>
      </c>
      <c r="E508">
        <v>5</v>
      </c>
      <c r="F508">
        <v>1</v>
      </c>
    </row>
    <row r="509" spans="1:6" x14ac:dyDescent="0.25">
      <c r="A509" s="1">
        <v>45685</v>
      </c>
      <c r="B509" t="s">
        <v>10</v>
      </c>
      <c r="C509">
        <v>99</v>
      </c>
      <c r="D509">
        <v>143</v>
      </c>
      <c r="E509">
        <v>5</v>
      </c>
      <c r="F509">
        <v>1</v>
      </c>
    </row>
    <row r="510" spans="1:6" x14ac:dyDescent="0.25">
      <c r="A510" s="1">
        <v>45686</v>
      </c>
      <c r="B510" t="s">
        <v>10</v>
      </c>
      <c r="C510">
        <v>96</v>
      </c>
      <c r="D510">
        <v>118</v>
      </c>
      <c r="E510">
        <v>5</v>
      </c>
      <c r="F510">
        <v>1</v>
      </c>
    </row>
    <row r="511" spans="1:6" x14ac:dyDescent="0.25">
      <c r="A511" s="1">
        <v>45687</v>
      </c>
      <c r="B511" t="s">
        <v>10</v>
      </c>
      <c r="C511">
        <v>85</v>
      </c>
      <c r="D511">
        <v>107</v>
      </c>
      <c r="E511">
        <v>5</v>
      </c>
      <c r="F511">
        <v>1</v>
      </c>
    </row>
    <row r="512" spans="1:6" x14ac:dyDescent="0.25">
      <c r="A512" s="1">
        <v>45688</v>
      </c>
      <c r="B512" t="s">
        <v>10</v>
      </c>
      <c r="C512">
        <v>82</v>
      </c>
      <c r="D512">
        <v>103</v>
      </c>
      <c r="E512">
        <v>5</v>
      </c>
      <c r="F512">
        <v>1</v>
      </c>
    </row>
    <row r="513" spans="1:6" x14ac:dyDescent="0.25">
      <c r="A513" s="1">
        <v>45689</v>
      </c>
      <c r="B513" t="s">
        <v>10</v>
      </c>
      <c r="C513">
        <v>92</v>
      </c>
      <c r="D513">
        <v>137</v>
      </c>
      <c r="E513">
        <v>5</v>
      </c>
      <c r="F513">
        <v>2</v>
      </c>
    </row>
    <row r="514" spans="1:6" x14ac:dyDescent="0.25">
      <c r="A514" s="1">
        <v>45690</v>
      </c>
      <c r="B514" t="s">
        <v>10</v>
      </c>
      <c r="C514">
        <v>109</v>
      </c>
      <c r="D514">
        <v>153</v>
      </c>
      <c r="E514">
        <v>5</v>
      </c>
      <c r="F514">
        <v>2</v>
      </c>
    </row>
    <row r="515" spans="1:6" x14ac:dyDescent="0.25">
      <c r="A515" s="1">
        <v>45691</v>
      </c>
      <c r="B515" t="s">
        <v>10</v>
      </c>
      <c r="C515">
        <v>90</v>
      </c>
      <c r="D515">
        <v>114</v>
      </c>
      <c r="E515">
        <v>6</v>
      </c>
      <c r="F515">
        <v>2</v>
      </c>
    </row>
    <row r="516" spans="1:6" x14ac:dyDescent="0.25">
      <c r="A516" s="1">
        <v>45692</v>
      </c>
      <c r="B516" t="s">
        <v>10</v>
      </c>
      <c r="C516">
        <v>85</v>
      </c>
      <c r="D516">
        <v>115</v>
      </c>
      <c r="E516">
        <v>6</v>
      </c>
      <c r="F516">
        <v>2</v>
      </c>
    </row>
    <row r="517" spans="1:6" x14ac:dyDescent="0.25">
      <c r="A517" s="1">
        <v>45693</v>
      </c>
      <c r="B517" t="s">
        <v>10</v>
      </c>
      <c r="C517">
        <v>101</v>
      </c>
      <c r="D517">
        <v>138</v>
      </c>
      <c r="E517">
        <v>6</v>
      </c>
      <c r="F517">
        <v>2</v>
      </c>
    </row>
    <row r="518" spans="1:6" x14ac:dyDescent="0.25">
      <c r="A518" s="1">
        <v>45694</v>
      </c>
      <c r="B518" t="s">
        <v>10</v>
      </c>
      <c r="C518">
        <v>99</v>
      </c>
      <c r="D518">
        <v>139</v>
      </c>
      <c r="E518">
        <v>6</v>
      </c>
      <c r="F518">
        <v>2</v>
      </c>
    </row>
    <row r="519" spans="1:6" x14ac:dyDescent="0.25">
      <c r="A519" s="1">
        <v>45695</v>
      </c>
      <c r="B519" t="s">
        <v>10</v>
      </c>
      <c r="C519">
        <v>83</v>
      </c>
      <c r="D519">
        <v>117</v>
      </c>
      <c r="E519">
        <v>6</v>
      </c>
      <c r="F519">
        <v>2</v>
      </c>
    </row>
    <row r="520" spans="1:6" x14ac:dyDescent="0.25">
      <c r="A520" s="1">
        <v>45696</v>
      </c>
      <c r="B520" t="s">
        <v>10</v>
      </c>
      <c r="C520">
        <v>97</v>
      </c>
      <c r="D520">
        <v>120</v>
      </c>
      <c r="E520">
        <v>6</v>
      </c>
      <c r="F520">
        <v>2</v>
      </c>
    </row>
    <row r="521" spans="1:6" x14ac:dyDescent="0.25">
      <c r="A521" s="1">
        <v>45697</v>
      </c>
      <c r="B521" t="s">
        <v>10</v>
      </c>
      <c r="C521">
        <v>111</v>
      </c>
      <c r="D521">
        <v>132</v>
      </c>
      <c r="E521">
        <v>6</v>
      </c>
      <c r="F521">
        <v>2</v>
      </c>
    </row>
    <row r="522" spans="1:6" x14ac:dyDescent="0.25">
      <c r="A522" s="1">
        <v>45698</v>
      </c>
      <c r="B522" t="s">
        <v>10</v>
      </c>
      <c r="C522">
        <v>82</v>
      </c>
      <c r="D522">
        <v>122</v>
      </c>
      <c r="E522">
        <v>7</v>
      </c>
      <c r="F522">
        <v>2</v>
      </c>
    </row>
    <row r="523" spans="1:6" x14ac:dyDescent="0.25">
      <c r="A523" s="1">
        <v>45699</v>
      </c>
      <c r="B523" t="s">
        <v>10</v>
      </c>
      <c r="C523">
        <v>87</v>
      </c>
      <c r="D523">
        <v>121</v>
      </c>
      <c r="E523">
        <v>7</v>
      </c>
      <c r="F523">
        <v>2</v>
      </c>
    </row>
    <row r="524" spans="1:6" x14ac:dyDescent="0.25">
      <c r="A524" s="1">
        <v>45700</v>
      </c>
      <c r="B524" t="s">
        <v>10</v>
      </c>
      <c r="C524">
        <v>94</v>
      </c>
      <c r="D524">
        <v>123</v>
      </c>
      <c r="E524">
        <v>7</v>
      </c>
      <c r="F524">
        <v>2</v>
      </c>
    </row>
    <row r="525" spans="1:6" x14ac:dyDescent="0.25">
      <c r="A525" s="1">
        <v>45701</v>
      </c>
      <c r="B525" t="s">
        <v>10</v>
      </c>
      <c r="C525">
        <v>96</v>
      </c>
      <c r="D525">
        <v>132</v>
      </c>
      <c r="E525">
        <v>7</v>
      </c>
      <c r="F525">
        <v>2</v>
      </c>
    </row>
    <row r="526" spans="1:6" x14ac:dyDescent="0.25">
      <c r="A526" s="1">
        <v>45702</v>
      </c>
      <c r="B526" t="s">
        <v>10</v>
      </c>
      <c r="C526">
        <v>94</v>
      </c>
      <c r="D526">
        <v>125</v>
      </c>
      <c r="E526">
        <v>7</v>
      </c>
      <c r="F526">
        <v>2</v>
      </c>
    </row>
    <row r="527" spans="1:6" x14ac:dyDescent="0.25">
      <c r="A527" s="1">
        <v>45703</v>
      </c>
      <c r="B527" t="s">
        <v>10</v>
      </c>
      <c r="C527">
        <v>83</v>
      </c>
      <c r="D527">
        <v>109</v>
      </c>
      <c r="E527">
        <v>7</v>
      </c>
      <c r="F527">
        <v>2</v>
      </c>
    </row>
    <row r="528" spans="1:6" x14ac:dyDescent="0.25">
      <c r="A528" s="1">
        <v>45704</v>
      </c>
      <c r="B528" t="s">
        <v>10</v>
      </c>
      <c r="C528">
        <v>87</v>
      </c>
      <c r="D528">
        <v>135</v>
      </c>
      <c r="E528">
        <v>7</v>
      </c>
      <c r="F528">
        <v>2</v>
      </c>
    </row>
    <row r="529" spans="1:6" x14ac:dyDescent="0.25">
      <c r="A529" s="1">
        <v>45705</v>
      </c>
      <c r="B529" t="s">
        <v>10</v>
      </c>
      <c r="C529">
        <v>92</v>
      </c>
      <c r="D529">
        <v>112</v>
      </c>
      <c r="E529">
        <v>8</v>
      </c>
      <c r="F529">
        <v>2</v>
      </c>
    </row>
    <row r="530" spans="1:6" x14ac:dyDescent="0.25">
      <c r="A530" s="1">
        <v>45706</v>
      </c>
      <c r="B530" t="s">
        <v>10</v>
      </c>
      <c r="C530">
        <v>89</v>
      </c>
      <c r="D530">
        <v>123</v>
      </c>
      <c r="E530">
        <v>8</v>
      </c>
      <c r="F530">
        <v>2</v>
      </c>
    </row>
    <row r="531" spans="1:6" x14ac:dyDescent="0.25">
      <c r="A531" s="1">
        <v>45707</v>
      </c>
      <c r="B531" t="s">
        <v>10</v>
      </c>
      <c r="C531">
        <v>115</v>
      </c>
      <c r="D531">
        <v>156</v>
      </c>
      <c r="E531">
        <v>8</v>
      </c>
      <c r="F531">
        <v>2</v>
      </c>
    </row>
    <row r="532" spans="1:6" x14ac:dyDescent="0.25">
      <c r="A532" s="1">
        <v>45708</v>
      </c>
      <c r="B532" t="s">
        <v>10</v>
      </c>
      <c r="C532">
        <v>93</v>
      </c>
      <c r="D532">
        <v>138</v>
      </c>
      <c r="E532">
        <v>8</v>
      </c>
      <c r="F532">
        <v>2</v>
      </c>
    </row>
    <row r="533" spans="1:6" x14ac:dyDescent="0.25">
      <c r="A533" s="1">
        <v>45709</v>
      </c>
      <c r="B533" t="s">
        <v>10</v>
      </c>
      <c r="C533">
        <v>84</v>
      </c>
      <c r="D533">
        <v>129</v>
      </c>
      <c r="E533">
        <v>8</v>
      </c>
      <c r="F533">
        <v>2</v>
      </c>
    </row>
    <row r="534" spans="1:6" x14ac:dyDescent="0.25">
      <c r="A534" s="1">
        <v>45710</v>
      </c>
      <c r="B534" t="s">
        <v>10</v>
      </c>
      <c r="C534">
        <v>89</v>
      </c>
      <c r="D534">
        <v>132</v>
      </c>
      <c r="E534">
        <v>8</v>
      </c>
      <c r="F534">
        <v>2</v>
      </c>
    </row>
    <row r="535" spans="1:6" x14ac:dyDescent="0.25">
      <c r="A535" s="1">
        <v>45711</v>
      </c>
      <c r="B535" t="s">
        <v>10</v>
      </c>
      <c r="C535">
        <v>89</v>
      </c>
      <c r="D535">
        <v>113</v>
      </c>
      <c r="E535">
        <v>8</v>
      </c>
      <c r="F535">
        <v>2</v>
      </c>
    </row>
    <row r="536" spans="1:6" x14ac:dyDescent="0.25">
      <c r="A536" s="1">
        <v>45712</v>
      </c>
      <c r="B536" t="s">
        <v>10</v>
      </c>
      <c r="C536">
        <v>87</v>
      </c>
      <c r="D536">
        <v>110</v>
      </c>
      <c r="E536">
        <v>9</v>
      </c>
      <c r="F536">
        <v>2</v>
      </c>
    </row>
    <row r="537" spans="1:6" x14ac:dyDescent="0.25">
      <c r="A537" s="1">
        <v>45713</v>
      </c>
      <c r="B537" t="s">
        <v>10</v>
      </c>
      <c r="C537">
        <v>91</v>
      </c>
      <c r="D537">
        <v>128</v>
      </c>
      <c r="E537">
        <v>9</v>
      </c>
      <c r="F537">
        <v>2</v>
      </c>
    </row>
    <row r="538" spans="1:6" x14ac:dyDescent="0.25">
      <c r="A538" s="1">
        <v>45714</v>
      </c>
      <c r="B538" t="s">
        <v>10</v>
      </c>
      <c r="C538">
        <v>101</v>
      </c>
      <c r="D538">
        <v>143</v>
      </c>
      <c r="E538">
        <v>9</v>
      </c>
      <c r="F538">
        <v>2</v>
      </c>
    </row>
    <row r="539" spans="1:6" x14ac:dyDescent="0.25">
      <c r="A539" s="1">
        <v>45715</v>
      </c>
      <c r="B539" t="s">
        <v>10</v>
      </c>
      <c r="C539">
        <v>95</v>
      </c>
      <c r="D539">
        <v>117</v>
      </c>
      <c r="E539">
        <v>9</v>
      </c>
      <c r="F539">
        <v>2</v>
      </c>
    </row>
    <row r="540" spans="1:6" x14ac:dyDescent="0.25">
      <c r="A540" s="1">
        <v>45716</v>
      </c>
      <c r="B540" t="s">
        <v>10</v>
      </c>
      <c r="C540">
        <v>106</v>
      </c>
      <c r="D540">
        <v>146</v>
      </c>
      <c r="E540">
        <v>9</v>
      </c>
      <c r="F540">
        <v>2</v>
      </c>
    </row>
    <row r="541" spans="1:6" x14ac:dyDescent="0.25">
      <c r="A541" s="1">
        <v>45717</v>
      </c>
      <c r="B541" t="s">
        <v>10</v>
      </c>
      <c r="C541">
        <v>78</v>
      </c>
      <c r="D541">
        <v>112</v>
      </c>
      <c r="E541">
        <v>9</v>
      </c>
      <c r="F541">
        <v>3</v>
      </c>
    </row>
    <row r="542" spans="1:6" x14ac:dyDescent="0.25">
      <c r="A542" s="1">
        <v>45718</v>
      </c>
      <c r="B542" t="s">
        <v>10</v>
      </c>
      <c r="C542">
        <v>85</v>
      </c>
      <c r="D542">
        <v>115</v>
      </c>
      <c r="E542">
        <v>9</v>
      </c>
      <c r="F542">
        <v>3</v>
      </c>
    </row>
    <row r="543" spans="1:6" x14ac:dyDescent="0.25">
      <c r="A543" s="1">
        <v>45719</v>
      </c>
      <c r="B543" t="s">
        <v>10</v>
      </c>
      <c r="C543">
        <v>85</v>
      </c>
      <c r="D543">
        <v>133</v>
      </c>
      <c r="E543">
        <v>10</v>
      </c>
      <c r="F543">
        <v>3</v>
      </c>
    </row>
    <row r="544" spans="1:6" x14ac:dyDescent="0.25">
      <c r="A544" s="1">
        <v>45720</v>
      </c>
      <c r="B544" t="s">
        <v>10</v>
      </c>
      <c r="C544">
        <v>73</v>
      </c>
      <c r="D544">
        <v>95</v>
      </c>
      <c r="E544">
        <v>10</v>
      </c>
      <c r="F544">
        <v>3</v>
      </c>
    </row>
    <row r="545" spans="1:6" x14ac:dyDescent="0.25">
      <c r="A545" s="1">
        <v>45721</v>
      </c>
      <c r="B545" t="s">
        <v>10</v>
      </c>
      <c r="C545">
        <v>96</v>
      </c>
      <c r="D545">
        <v>125</v>
      </c>
      <c r="E545">
        <v>10</v>
      </c>
      <c r="F545">
        <v>3</v>
      </c>
    </row>
    <row r="546" spans="1:6" x14ac:dyDescent="0.25">
      <c r="A546" s="1">
        <v>45722</v>
      </c>
      <c r="B546" t="s">
        <v>10</v>
      </c>
      <c r="C546">
        <v>91</v>
      </c>
      <c r="D546">
        <v>127</v>
      </c>
      <c r="E546">
        <v>10</v>
      </c>
      <c r="F546">
        <v>3</v>
      </c>
    </row>
    <row r="547" spans="1:6" x14ac:dyDescent="0.25">
      <c r="A547" s="1">
        <v>45723</v>
      </c>
      <c r="B547" t="s">
        <v>10</v>
      </c>
      <c r="C547">
        <v>103</v>
      </c>
      <c r="D547">
        <v>128</v>
      </c>
      <c r="E547">
        <v>10</v>
      </c>
      <c r="F547">
        <v>3</v>
      </c>
    </row>
    <row r="548" spans="1:6" x14ac:dyDescent="0.25">
      <c r="A548" s="1">
        <v>45724</v>
      </c>
      <c r="B548" t="s">
        <v>10</v>
      </c>
      <c r="C548">
        <v>95</v>
      </c>
      <c r="D548">
        <v>128</v>
      </c>
      <c r="E548">
        <v>10</v>
      </c>
      <c r="F548">
        <v>3</v>
      </c>
    </row>
    <row r="549" spans="1:6" x14ac:dyDescent="0.25">
      <c r="A549" s="1">
        <v>45725</v>
      </c>
      <c r="B549" t="s">
        <v>10</v>
      </c>
      <c r="C549">
        <v>86</v>
      </c>
      <c r="D549">
        <v>109</v>
      </c>
      <c r="E549">
        <v>10</v>
      </c>
      <c r="F549">
        <v>3</v>
      </c>
    </row>
    <row r="550" spans="1:6" x14ac:dyDescent="0.25">
      <c r="A550" s="1">
        <v>45726</v>
      </c>
      <c r="B550" t="s">
        <v>10</v>
      </c>
      <c r="C550">
        <v>83</v>
      </c>
      <c r="D550">
        <v>129</v>
      </c>
      <c r="E550">
        <v>11</v>
      </c>
      <c r="F550">
        <v>3</v>
      </c>
    </row>
    <row r="551" spans="1:6" x14ac:dyDescent="0.25">
      <c r="A551" s="1">
        <v>45727</v>
      </c>
      <c r="B551" t="s">
        <v>10</v>
      </c>
      <c r="C551">
        <v>88</v>
      </c>
      <c r="D551">
        <v>120</v>
      </c>
      <c r="E551">
        <v>11</v>
      </c>
      <c r="F551">
        <v>3</v>
      </c>
    </row>
    <row r="552" spans="1:6" x14ac:dyDescent="0.25">
      <c r="A552" s="1">
        <v>45728</v>
      </c>
      <c r="B552" t="s">
        <v>10</v>
      </c>
      <c r="C552">
        <v>93</v>
      </c>
      <c r="D552">
        <v>117</v>
      </c>
      <c r="E552">
        <v>11</v>
      </c>
      <c r="F552">
        <v>3</v>
      </c>
    </row>
    <row r="553" spans="1:6" x14ac:dyDescent="0.25">
      <c r="A553" s="1">
        <v>45729</v>
      </c>
      <c r="B553" t="s">
        <v>10</v>
      </c>
      <c r="C553">
        <v>75</v>
      </c>
      <c r="D553">
        <v>102</v>
      </c>
      <c r="E553">
        <v>11</v>
      </c>
      <c r="F553">
        <v>3</v>
      </c>
    </row>
    <row r="554" spans="1:6" x14ac:dyDescent="0.25">
      <c r="A554" s="1">
        <v>45730</v>
      </c>
      <c r="B554" t="s">
        <v>10</v>
      </c>
      <c r="C554">
        <v>106</v>
      </c>
      <c r="D554">
        <v>147</v>
      </c>
      <c r="E554">
        <v>11</v>
      </c>
      <c r="F554">
        <v>3</v>
      </c>
    </row>
    <row r="555" spans="1:6" x14ac:dyDescent="0.25">
      <c r="A555" s="1">
        <v>45731</v>
      </c>
      <c r="B555" t="s">
        <v>10</v>
      </c>
      <c r="C555">
        <v>85</v>
      </c>
      <c r="D555">
        <v>126</v>
      </c>
      <c r="E555">
        <v>11</v>
      </c>
      <c r="F555">
        <v>3</v>
      </c>
    </row>
    <row r="556" spans="1:6" x14ac:dyDescent="0.25">
      <c r="A556" s="1">
        <v>45732</v>
      </c>
      <c r="B556" t="s">
        <v>10</v>
      </c>
      <c r="C556">
        <v>98</v>
      </c>
      <c r="D556">
        <v>119</v>
      </c>
      <c r="E556">
        <v>11</v>
      </c>
      <c r="F556">
        <v>3</v>
      </c>
    </row>
    <row r="557" spans="1:6" x14ac:dyDescent="0.25">
      <c r="A557" s="1">
        <v>45733</v>
      </c>
      <c r="B557" t="s">
        <v>10</v>
      </c>
      <c r="C557">
        <v>91</v>
      </c>
      <c r="D557">
        <v>132</v>
      </c>
      <c r="E557">
        <v>12</v>
      </c>
      <c r="F557">
        <v>3</v>
      </c>
    </row>
    <row r="558" spans="1:6" x14ac:dyDescent="0.25">
      <c r="A558" s="1">
        <v>45734</v>
      </c>
      <c r="B558" t="s">
        <v>10</v>
      </c>
      <c r="C558">
        <v>95</v>
      </c>
      <c r="D558">
        <v>127</v>
      </c>
      <c r="E558">
        <v>12</v>
      </c>
      <c r="F558">
        <v>3</v>
      </c>
    </row>
    <row r="559" spans="1:6" x14ac:dyDescent="0.25">
      <c r="A559" s="1">
        <v>45735</v>
      </c>
      <c r="B559" t="s">
        <v>10</v>
      </c>
      <c r="C559">
        <v>97</v>
      </c>
      <c r="D559">
        <v>139</v>
      </c>
      <c r="E559">
        <v>12</v>
      </c>
      <c r="F559">
        <v>3</v>
      </c>
    </row>
    <row r="560" spans="1:6" x14ac:dyDescent="0.25">
      <c r="A560" s="1">
        <v>45736</v>
      </c>
      <c r="B560" t="s">
        <v>10</v>
      </c>
      <c r="C560">
        <v>94</v>
      </c>
      <c r="D560">
        <v>138</v>
      </c>
      <c r="E560">
        <v>12</v>
      </c>
      <c r="F560">
        <v>3</v>
      </c>
    </row>
    <row r="561" spans="1:6" x14ac:dyDescent="0.25">
      <c r="A561" s="1">
        <v>45737</v>
      </c>
      <c r="B561" t="s">
        <v>10</v>
      </c>
      <c r="C561">
        <v>103</v>
      </c>
      <c r="D561">
        <v>138</v>
      </c>
      <c r="E561">
        <v>12</v>
      </c>
      <c r="F561">
        <v>3</v>
      </c>
    </row>
    <row r="562" spans="1:6" x14ac:dyDescent="0.25">
      <c r="A562" s="1">
        <v>45738</v>
      </c>
      <c r="B562" t="s">
        <v>10</v>
      </c>
      <c r="C562">
        <v>98</v>
      </c>
      <c r="D562">
        <v>133</v>
      </c>
      <c r="E562">
        <v>12</v>
      </c>
      <c r="F562">
        <v>3</v>
      </c>
    </row>
    <row r="563" spans="1:6" x14ac:dyDescent="0.25">
      <c r="A563" s="1">
        <v>45739</v>
      </c>
      <c r="B563" t="s">
        <v>10</v>
      </c>
      <c r="C563">
        <v>90</v>
      </c>
      <c r="D563">
        <v>128</v>
      </c>
      <c r="E563">
        <v>12</v>
      </c>
      <c r="F563">
        <v>3</v>
      </c>
    </row>
    <row r="564" spans="1:6" x14ac:dyDescent="0.25">
      <c r="A564" s="1">
        <v>45740</v>
      </c>
      <c r="B564" t="s">
        <v>10</v>
      </c>
      <c r="C564">
        <v>110</v>
      </c>
      <c r="D564">
        <v>154</v>
      </c>
      <c r="E564">
        <v>13</v>
      </c>
      <c r="F564">
        <v>3</v>
      </c>
    </row>
    <row r="565" spans="1:6" x14ac:dyDescent="0.25">
      <c r="A565" s="1">
        <v>45741</v>
      </c>
      <c r="B565" t="s">
        <v>10</v>
      </c>
      <c r="C565">
        <v>98</v>
      </c>
      <c r="D565">
        <v>139</v>
      </c>
      <c r="E565">
        <v>13</v>
      </c>
      <c r="F565">
        <v>3</v>
      </c>
    </row>
    <row r="566" spans="1:6" x14ac:dyDescent="0.25">
      <c r="A566" s="1">
        <v>45742</v>
      </c>
      <c r="B566" t="s">
        <v>10</v>
      </c>
      <c r="C566">
        <v>77</v>
      </c>
      <c r="D566">
        <v>97</v>
      </c>
      <c r="E566">
        <v>13</v>
      </c>
      <c r="F566">
        <v>3</v>
      </c>
    </row>
    <row r="567" spans="1:6" x14ac:dyDescent="0.25">
      <c r="A567" s="1">
        <v>45743</v>
      </c>
      <c r="B567" t="s">
        <v>10</v>
      </c>
      <c r="C567">
        <v>96</v>
      </c>
      <c r="D567">
        <v>135</v>
      </c>
      <c r="E567">
        <v>13</v>
      </c>
      <c r="F567">
        <v>3</v>
      </c>
    </row>
    <row r="568" spans="1:6" x14ac:dyDescent="0.25">
      <c r="A568" s="1">
        <v>45744</v>
      </c>
      <c r="B568" t="s">
        <v>10</v>
      </c>
      <c r="C568">
        <v>99</v>
      </c>
      <c r="D568">
        <v>119</v>
      </c>
      <c r="E568">
        <v>13</v>
      </c>
      <c r="F568">
        <v>3</v>
      </c>
    </row>
    <row r="569" spans="1:6" x14ac:dyDescent="0.25">
      <c r="A569" s="1">
        <v>45745</v>
      </c>
      <c r="B569" t="s">
        <v>10</v>
      </c>
      <c r="C569">
        <v>85</v>
      </c>
      <c r="D569">
        <v>113</v>
      </c>
      <c r="E569">
        <v>13</v>
      </c>
      <c r="F569">
        <v>3</v>
      </c>
    </row>
    <row r="570" spans="1:6" x14ac:dyDescent="0.25">
      <c r="A570" s="1">
        <v>45746</v>
      </c>
      <c r="B570" t="s">
        <v>10</v>
      </c>
      <c r="C570">
        <v>94</v>
      </c>
      <c r="D570">
        <v>133</v>
      </c>
      <c r="E570">
        <v>13</v>
      </c>
      <c r="F570">
        <v>3</v>
      </c>
    </row>
    <row r="571" spans="1:6" x14ac:dyDescent="0.25">
      <c r="A571" s="1">
        <v>45747</v>
      </c>
      <c r="B571" t="s">
        <v>10</v>
      </c>
      <c r="C571">
        <v>106</v>
      </c>
      <c r="D571">
        <v>147</v>
      </c>
      <c r="E571">
        <v>14</v>
      </c>
      <c r="F571">
        <v>3</v>
      </c>
    </row>
    <row r="572" spans="1:6" x14ac:dyDescent="0.25">
      <c r="A572" s="1">
        <v>45748</v>
      </c>
      <c r="B572" t="s">
        <v>10</v>
      </c>
      <c r="C572">
        <v>105</v>
      </c>
      <c r="D572">
        <v>139</v>
      </c>
      <c r="E572">
        <v>14</v>
      </c>
      <c r="F572">
        <v>4</v>
      </c>
    </row>
    <row r="573" spans="1:6" x14ac:dyDescent="0.25">
      <c r="A573" s="1">
        <v>45749</v>
      </c>
      <c r="B573" t="s">
        <v>10</v>
      </c>
      <c r="C573">
        <v>90</v>
      </c>
      <c r="D573">
        <v>122</v>
      </c>
      <c r="E573">
        <v>14</v>
      </c>
      <c r="F573">
        <v>4</v>
      </c>
    </row>
    <row r="574" spans="1:6" x14ac:dyDescent="0.25">
      <c r="A574" s="1">
        <v>45750</v>
      </c>
      <c r="B574" t="s">
        <v>10</v>
      </c>
      <c r="C574">
        <v>90</v>
      </c>
      <c r="D574">
        <v>139</v>
      </c>
      <c r="E574">
        <v>14</v>
      </c>
      <c r="F574">
        <v>4</v>
      </c>
    </row>
    <row r="575" spans="1:6" x14ac:dyDescent="0.25">
      <c r="A575" s="1">
        <v>45751</v>
      </c>
      <c r="B575" t="s">
        <v>10</v>
      </c>
      <c r="C575">
        <v>99</v>
      </c>
      <c r="D575">
        <v>125</v>
      </c>
      <c r="E575">
        <v>14</v>
      </c>
      <c r="F575">
        <v>4</v>
      </c>
    </row>
    <row r="576" spans="1:6" x14ac:dyDescent="0.25">
      <c r="A576" s="1">
        <v>45752</v>
      </c>
      <c r="B576" t="s">
        <v>10</v>
      </c>
      <c r="C576">
        <v>87</v>
      </c>
      <c r="D576">
        <v>127</v>
      </c>
      <c r="E576">
        <v>14</v>
      </c>
      <c r="F576">
        <v>4</v>
      </c>
    </row>
    <row r="577" spans="1:6" x14ac:dyDescent="0.25">
      <c r="A577" s="1">
        <v>45753</v>
      </c>
      <c r="B577" t="s">
        <v>10</v>
      </c>
      <c r="C577">
        <v>95</v>
      </c>
      <c r="D577">
        <v>116</v>
      </c>
      <c r="E577">
        <v>14</v>
      </c>
      <c r="F577">
        <v>4</v>
      </c>
    </row>
    <row r="578" spans="1:6" x14ac:dyDescent="0.25">
      <c r="A578" s="1">
        <v>45754</v>
      </c>
      <c r="B578" t="s">
        <v>10</v>
      </c>
      <c r="C578">
        <v>110</v>
      </c>
      <c r="D578">
        <v>143</v>
      </c>
      <c r="E578">
        <v>15</v>
      </c>
      <c r="F578">
        <v>4</v>
      </c>
    </row>
    <row r="579" spans="1:6" x14ac:dyDescent="0.25">
      <c r="A579" s="1">
        <v>45755</v>
      </c>
      <c r="B579" t="s">
        <v>10</v>
      </c>
      <c r="C579">
        <v>107</v>
      </c>
      <c r="D579">
        <v>146</v>
      </c>
      <c r="E579">
        <v>15</v>
      </c>
      <c r="F579">
        <v>4</v>
      </c>
    </row>
    <row r="580" spans="1:6" x14ac:dyDescent="0.25">
      <c r="A580" s="1">
        <v>45756</v>
      </c>
      <c r="B580" t="s">
        <v>10</v>
      </c>
      <c r="C580">
        <v>93</v>
      </c>
      <c r="D580">
        <v>137</v>
      </c>
      <c r="E580">
        <v>15</v>
      </c>
      <c r="F580">
        <v>4</v>
      </c>
    </row>
    <row r="581" spans="1:6" x14ac:dyDescent="0.25">
      <c r="A581" s="1">
        <v>45757</v>
      </c>
      <c r="B581" t="s">
        <v>10</v>
      </c>
      <c r="C581">
        <v>98</v>
      </c>
      <c r="D581">
        <v>138</v>
      </c>
      <c r="E581">
        <v>15</v>
      </c>
      <c r="F581">
        <v>4</v>
      </c>
    </row>
    <row r="582" spans="1:6" x14ac:dyDescent="0.25">
      <c r="A582" s="1">
        <v>45758</v>
      </c>
      <c r="B582" t="s">
        <v>10</v>
      </c>
      <c r="C582">
        <v>120</v>
      </c>
      <c r="D582">
        <v>152</v>
      </c>
      <c r="E582">
        <v>15</v>
      </c>
      <c r="F582">
        <v>4</v>
      </c>
    </row>
    <row r="583" spans="1:6" x14ac:dyDescent="0.25">
      <c r="A583" s="1">
        <v>45759</v>
      </c>
      <c r="B583" t="s">
        <v>10</v>
      </c>
      <c r="C583">
        <v>86</v>
      </c>
      <c r="D583">
        <v>134</v>
      </c>
      <c r="E583">
        <v>15</v>
      </c>
      <c r="F583">
        <v>4</v>
      </c>
    </row>
    <row r="584" spans="1:6" x14ac:dyDescent="0.25">
      <c r="A584" s="1">
        <v>45760</v>
      </c>
      <c r="B584" t="s">
        <v>10</v>
      </c>
      <c r="C584">
        <v>89</v>
      </c>
      <c r="D584">
        <v>113</v>
      </c>
      <c r="E584">
        <v>15</v>
      </c>
      <c r="F584">
        <v>4</v>
      </c>
    </row>
    <row r="585" spans="1:6" x14ac:dyDescent="0.25">
      <c r="A585" s="1">
        <v>45761</v>
      </c>
      <c r="B585" t="s">
        <v>10</v>
      </c>
      <c r="C585">
        <v>102</v>
      </c>
      <c r="D585">
        <v>123</v>
      </c>
      <c r="E585">
        <v>16</v>
      </c>
      <c r="F585">
        <v>4</v>
      </c>
    </row>
    <row r="586" spans="1:6" x14ac:dyDescent="0.25">
      <c r="A586" s="1">
        <v>45762</v>
      </c>
      <c r="B586" t="s">
        <v>10</v>
      </c>
      <c r="C586">
        <v>93</v>
      </c>
      <c r="D586">
        <v>136</v>
      </c>
      <c r="E586">
        <v>16</v>
      </c>
      <c r="F586">
        <v>4</v>
      </c>
    </row>
    <row r="587" spans="1:6" x14ac:dyDescent="0.25">
      <c r="A587" s="1">
        <v>45763</v>
      </c>
      <c r="B587" t="s">
        <v>10</v>
      </c>
      <c r="C587">
        <v>87</v>
      </c>
      <c r="D587">
        <v>115</v>
      </c>
      <c r="E587">
        <v>16</v>
      </c>
      <c r="F587">
        <v>4</v>
      </c>
    </row>
    <row r="588" spans="1:6" x14ac:dyDescent="0.25">
      <c r="A588" s="1">
        <v>45764</v>
      </c>
      <c r="B588" t="s">
        <v>10</v>
      </c>
      <c r="C588">
        <v>81</v>
      </c>
      <c r="D588">
        <v>130</v>
      </c>
      <c r="E588">
        <v>16</v>
      </c>
      <c r="F588">
        <v>4</v>
      </c>
    </row>
    <row r="589" spans="1:6" x14ac:dyDescent="0.25">
      <c r="A589" s="1">
        <v>45765</v>
      </c>
      <c r="B589" t="s">
        <v>10</v>
      </c>
      <c r="C589">
        <v>86</v>
      </c>
      <c r="D589">
        <v>121</v>
      </c>
      <c r="E589">
        <v>16</v>
      </c>
      <c r="F589">
        <v>4</v>
      </c>
    </row>
    <row r="590" spans="1:6" x14ac:dyDescent="0.25">
      <c r="A590" s="1">
        <v>45766</v>
      </c>
      <c r="B590" t="s">
        <v>10</v>
      </c>
      <c r="C590">
        <v>74</v>
      </c>
      <c r="D590">
        <v>100</v>
      </c>
      <c r="E590">
        <v>16</v>
      </c>
      <c r="F590">
        <v>4</v>
      </c>
    </row>
    <row r="591" spans="1:6" x14ac:dyDescent="0.25">
      <c r="A591" s="1">
        <v>45767</v>
      </c>
      <c r="B591" t="s">
        <v>10</v>
      </c>
      <c r="C591">
        <v>85</v>
      </c>
      <c r="D591">
        <v>132</v>
      </c>
      <c r="E591">
        <v>16</v>
      </c>
      <c r="F591">
        <v>4</v>
      </c>
    </row>
    <row r="592" spans="1:6" x14ac:dyDescent="0.25">
      <c r="A592" s="1">
        <v>45768</v>
      </c>
      <c r="B592" t="s">
        <v>10</v>
      </c>
      <c r="C592">
        <v>87</v>
      </c>
      <c r="D592">
        <v>134</v>
      </c>
      <c r="E592">
        <v>17</v>
      </c>
      <c r="F592">
        <v>4</v>
      </c>
    </row>
    <row r="593" spans="1:6" x14ac:dyDescent="0.25">
      <c r="A593" s="1">
        <v>45769</v>
      </c>
      <c r="B593" t="s">
        <v>10</v>
      </c>
      <c r="C593">
        <v>104</v>
      </c>
      <c r="D593">
        <v>128</v>
      </c>
      <c r="E593">
        <v>17</v>
      </c>
      <c r="F593">
        <v>4</v>
      </c>
    </row>
    <row r="594" spans="1:6" x14ac:dyDescent="0.25">
      <c r="A594" s="1">
        <v>45770</v>
      </c>
      <c r="B594" t="s">
        <v>10</v>
      </c>
      <c r="C594">
        <v>107</v>
      </c>
      <c r="D594">
        <v>155</v>
      </c>
      <c r="E594">
        <v>17</v>
      </c>
      <c r="F594">
        <v>4</v>
      </c>
    </row>
    <row r="595" spans="1:6" x14ac:dyDescent="0.25">
      <c r="A595" s="1">
        <v>45771</v>
      </c>
      <c r="B595" t="s">
        <v>10</v>
      </c>
      <c r="C595">
        <v>89</v>
      </c>
      <c r="D595">
        <v>130</v>
      </c>
      <c r="E595">
        <v>17</v>
      </c>
      <c r="F595">
        <v>4</v>
      </c>
    </row>
    <row r="596" spans="1:6" x14ac:dyDescent="0.25">
      <c r="A596" s="1">
        <v>45772</v>
      </c>
      <c r="B596" t="s">
        <v>10</v>
      </c>
      <c r="C596">
        <v>103</v>
      </c>
      <c r="D596">
        <v>144</v>
      </c>
      <c r="E596">
        <v>17</v>
      </c>
      <c r="F596">
        <v>4</v>
      </c>
    </row>
    <row r="597" spans="1:6" x14ac:dyDescent="0.25">
      <c r="A597" s="1">
        <v>45773</v>
      </c>
      <c r="B597" t="s">
        <v>10</v>
      </c>
      <c r="C597">
        <v>119</v>
      </c>
      <c r="D597">
        <v>168</v>
      </c>
      <c r="E597">
        <v>17</v>
      </c>
      <c r="F597">
        <v>4</v>
      </c>
    </row>
    <row r="598" spans="1:6" x14ac:dyDescent="0.25">
      <c r="A598" s="1">
        <v>45774</v>
      </c>
      <c r="B598" t="s">
        <v>10</v>
      </c>
      <c r="C598">
        <v>92</v>
      </c>
      <c r="D598">
        <v>126</v>
      </c>
      <c r="E598">
        <v>17</v>
      </c>
      <c r="F598">
        <v>4</v>
      </c>
    </row>
    <row r="599" spans="1:6" x14ac:dyDescent="0.25">
      <c r="A599" s="1">
        <v>45775</v>
      </c>
      <c r="B599" t="s">
        <v>10</v>
      </c>
      <c r="C599">
        <v>95</v>
      </c>
      <c r="D599">
        <v>138</v>
      </c>
      <c r="E599">
        <v>18</v>
      </c>
      <c r="F599">
        <v>4</v>
      </c>
    </row>
    <row r="600" spans="1:6" x14ac:dyDescent="0.25">
      <c r="A600" s="1">
        <v>45776</v>
      </c>
      <c r="B600" t="s">
        <v>10</v>
      </c>
      <c r="C600">
        <v>94</v>
      </c>
      <c r="D600">
        <v>134</v>
      </c>
      <c r="E600">
        <v>18</v>
      </c>
      <c r="F600">
        <v>4</v>
      </c>
    </row>
    <row r="601" spans="1:6" x14ac:dyDescent="0.25">
      <c r="A601" s="1">
        <v>45777</v>
      </c>
      <c r="B601" t="s">
        <v>10</v>
      </c>
      <c r="C601">
        <v>104</v>
      </c>
      <c r="D601">
        <v>144</v>
      </c>
      <c r="E601">
        <v>18</v>
      </c>
      <c r="F60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workbookViewId="0"/>
  </sheetViews>
  <sheetFormatPr defaultRowHeight="15" x14ac:dyDescent="0.25"/>
  <cols>
    <col min="4" max="4" width="14.85546875" bestFit="1" customWidth="1"/>
  </cols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6</v>
      </c>
      <c r="C2">
        <v>466</v>
      </c>
      <c r="D2">
        <v>134.80000000000001</v>
      </c>
    </row>
    <row r="3" spans="1:4" x14ac:dyDescent="0.25">
      <c r="A3">
        <v>1</v>
      </c>
      <c r="B3" t="s">
        <v>7</v>
      </c>
      <c r="C3">
        <v>359</v>
      </c>
      <c r="D3">
        <v>104.8</v>
      </c>
    </row>
    <row r="4" spans="1:4" x14ac:dyDescent="0.25">
      <c r="A4">
        <v>1</v>
      </c>
      <c r="B4" t="s">
        <v>8</v>
      </c>
      <c r="C4">
        <v>241</v>
      </c>
      <c r="D4">
        <v>76.599999999999994</v>
      </c>
    </row>
    <row r="5" spans="1:4" x14ac:dyDescent="0.25">
      <c r="A5">
        <v>1</v>
      </c>
      <c r="B5" t="s">
        <v>9</v>
      </c>
      <c r="C5">
        <v>382</v>
      </c>
      <c r="D5">
        <v>114.6</v>
      </c>
    </row>
    <row r="6" spans="1:4" x14ac:dyDescent="0.25">
      <c r="A6">
        <v>1</v>
      </c>
      <c r="B6" t="s">
        <v>10</v>
      </c>
      <c r="C6">
        <v>417</v>
      </c>
      <c r="D6">
        <v>115.4</v>
      </c>
    </row>
    <row r="7" spans="1:4" x14ac:dyDescent="0.25">
      <c r="A7">
        <v>2</v>
      </c>
      <c r="B7" t="s">
        <v>6</v>
      </c>
      <c r="C7">
        <v>712</v>
      </c>
      <c r="D7">
        <v>143</v>
      </c>
    </row>
    <row r="8" spans="1:4" x14ac:dyDescent="0.25">
      <c r="A8">
        <v>2</v>
      </c>
      <c r="B8" t="s">
        <v>7</v>
      </c>
      <c r="C8">
        <v>502</v>
      </c>
      <c r="D8">
        <v>103.4285714285714</v>
      </c>
    </row>
    <row r="9" spans="1:4" x14ac:dyDescent="0.25">
      <c r="A9">
        <v>2</v>
      </c>
      <c r="B9" t="s">
        <v>8</v>
      </c>
      <c r="C9">
        <v>340</v>
      </c>
      <c r="D9">
        <v>81.571428571428569</v>
      </c>
    </row>
    <row r="10" spans="1:4" x14ac:dyDescent="0.25">
      <c r="A10">
        <v>2</v>
      </c>
      <c r="B10" t="s">
        <v>9</v>
      </c>
      <c r="C10">
        <v>528</v>
      </c>
      <c r="D10">
        <v>109.28571428571431</v>
      </c>
    </row>
    <row r="11" spans="1:4" x14ac:dyDescent="0.25">
      <c r="A11">
        <v>2</v>
      </c>
      <c r="B11" t="s">
        <v>10</v>
      </c>
      <c r="C11">
        <v>643</v>
      </c>
      <c r="D11">
        <v>132.28571428571431</v>
      </c>
    </row>
    <row r="12" spans="1:4" x14ac:dyDescent="0.25">
      <c r="A12">
        <v>3</v>
      </c>
      <c r="B12" t="s">
        <v>6</v>
      </c>
      <c r="C12">
        <v>699</v>
      </c>
      <c r="D12">
        <v>137.57142857142861</v>
      </c>
    </row>
    <row r="13" spans="1:4" x14ac:dyDescent="0.25">
      <c r="A13">
        <v>3</v>
      </c>
      <c r="B13" t="s">
        <v>7</v>
      </c>
      <c r="C13">
        <v>468</v>
      </c>
      <c r="D13">
        <v>101.1428571428571</v>
      </c>
    </row>
    <row r="14" spans="1:4" x14ac:dyDescent="0.25">
      <c r="A14">
        <v>3</v>
      </c>
      <c r="B14" t="s">
        <v>8</v>
      </c>
      <c r="C14">
        <v>373</v>
      </c>
      <c r="D14">
        <v>82.857142857142861</v>
      </c>
    </row>
    <row r="15" spans="1:4" x14ac:dyDescent="0.25">
      <c r="A15">
        <v>3</v>
      </c>
      <c r="B15" t="s">
        <v>9</v>
      </c>
      <c r="C15">
        <v>517</v>
      </c>
      <c r="D15">
        <v>106.5714285714286</v>
      </c>
    </row>
    <row r="16" spans="1:4" x14ac:dyDescent="0.25">
      <c r="A16">
        <v>3</v>
      </c>
      <c r="B16" t="s">
        <v>10</v>
      </c>
      <c r="C16">
        <v>694</v>
      </c>
      <c r="D16">
        <v>135.28571428571431</v>
      </c>
    </row>
    <row r="17" spans="1:4" x14ac:dyDescent="0.25">
      <c r="A17">
        <v>4</v>
      </c>
      <c r="B17" t="s">
        <v>6</v>
      </c>
      <c r="C17">
        <v>738</v>
      </c>
      <c r="D17">
        <v>140</v>
      </c>
    </row>
    <row r="18" spans="1:4" x14ac:dyDescent="0.25">
      <c r="A18">
        <v>4</v>
      </c>
      <c r="B18" t="s">
        <v>7</v>
      </c>
      <c r="C18">
        <v>457</v>
      </c>
      <c r="D18">
        <v>102.8571428571429</v>
      </c>
    </row>
    <row r="19" spans="1:4" x14ac:dyDescent="0.25">
      <c r="A19">
        <v>4</v>
      </c>
      <c r="B19" t="s">
        <v>8</v>
      </c>
      <c r="C19">
        <v>372</v>
      </c>
      <c r="D19">
        <v>90.571428571428569</v>
      </c>
    </row>
    <row r="20" spans="1:4" x14ac:dyDescent="0.25">
      <c r="A20">
        <v>4</v>
      </c>
      <c r="B20" t="s">
        <v>9</v>
      </c>
      <c r="C20">
        <v>500</v>
      </c>
      <c r="D20">
        <v>109.71428571428569</v>
      </c>
    </row>
    <row r="21" spans="1:4" x14ac:dyDescent="0.25">
      <c r="A21">
        <v>4</v>
      </c>
      <c r="B21" t="s">
        <v>10</v>
      </c>
      <c r="C21">
        <v>683</v>
      </c>
      <c r="D21">
        <v>130.85714285714289</v>
      </c>
    </row>
    <row r="22" spans="1:4" x14ac:dyDescent="0.25">
      <c r="A22">
        <v>5</v>
      </c>
      <c r="B22" t="s">
        <v>6</v>
      </c>
      <c r="C22">
        <v>696</v>
      </c>
      <c r="D22">
        <v>129.57142857142861</v>
      </c>
    </row>
    <row r="23" spans="1:4" x14ac:dyDescent="0.25">
      <c r="A23">
        <v>5</v>
      </c>
      <c r="B23" t="s">
        <v>7</v>
      </c>
      <c r="C23">
        <v>453</v>
      </c>
      <c r="D23">
        <v>99.571428571428569</v>
      </c>
    </row>
    <row r="24" spans="1:4" x14ac:dyDescent="0.25">
      <c r="A24">
        <v>5</v>
      </c>
      <c r="B24" t="s">
        <v>8</v>
      </c>
      <c r="C24">
        <v>367</v>
      </c>
      <c r="D24">
        <v>90.571428571428569</v>
      </c>
    </row>
    <row r="25" spans="1:4" x14ac:dyDescent="0.25">
      <c r="A25">
        <v>5</v>
      </c>
      <c r="B25" t="s">
        <v>9</v>
      </c>
      <c r="C25">
        <v>529</v>
      </c>
      <c r="D25">
        <v>109</v>
      </c>
    </row>
    <row r="26" spans="1:4" x14ac:dyDescent="0.25">
      <c r="A26">
        <v>5</v>
      </c>
      <c r="B26" t="s">
        <v>10</v>
      </c>
      <c r="C26">
        <v>660</v>
      </c>
      <c r="D26">
        <v>127.4285714285714</v>
      </c>
    </row>
    <row r="27" spans="1:4" x14ac:dyDescent="0.25">
      <c r="A27">
        <v>6</v>
      </c>
      <c r="B27" t="s">
        <v>6</v>
      </c>
      <c r="C27">
        <v>734</v>
      </c>
      <c r="D27">
        <v>137.71428571428569</v>
      </c>
    </row>
    <row r="28" spans="1:4" x14ac:dyDescent="0.25">
      <c r="A28">
        <v>6</v>
      </c>
      <c r="B28" t="s">
        <v>7</v>
      </c>
      <c r="C28">
        <v>470</v>
      </c>
      <c r="D28">
        <v>104</v>
      </c>
    </row>
    <row r="29" spans="1:4" x14ac:dyDescent="0.25">
      <c r="A29">
        <v>6</v>
      </c>
      <c r="B29" t="s">
        <v>8</v>
      </c>
      <c r="C29">
        <v>372</v>
      </c>
      <c r="D29">
        <v>88.571428571428569</v>
      </c>
    </row>
    <row r="30" spans="1:4" x14ac:dyDescent="0.25">
      <c r="A30">
        <v>6</v>
      </c>
      <c r="B30" t="s">
        <v>9</v>
      </c>
      <c r="C30">
        <v>516</v>
      </c>
      <c r="D30">
        <v>108.8571428571429</v>
      </c>
    </row>
    <row r="31" spans="1:4" x14ac:dyDescent="0.25">
      <c r="A31">
        <v>6</v>
      </c>
      <c r="B31" t="s">
        <v>10</v>
      </c>
      <c r="C31">
        <v>666</v>
      </c>
      <c r="D31">
        <v>125</v>
      </c>
    </row>
    <row r="32" spans="1:4" x14ac:dyDescent="0.25">
      <c r="A32">
        <v>7</v>
      </c>
      <c r="B32" t="s">
        <v>6</v>
      </c>
      <c r="C32">
        <v>686</v>
      </c>
      <c r="D32">
        <v>139.71428571428569</v>
      </c>
    </row>
    <row r="33" spans="1:4" x14ac:dyDescent="0.25">
      <c r="A33">
        <v>7</v>
      </c>
      <c r="B33" t="s">
        <v>7</v>
      </c>
      <c r="C33">
        <v>444</v>
      </c>
      <c r="D33">
        <v>100.8571428571429</v>
      </c>
    </row>
    <row r="34" spans="1:4" x14ac:dyDescent="0.25">
      <c r="A34">
        <v>7</v>
      </c>
      <c r="B34" t="s">
        <v>8</v>
      </c>
      <c r="C34">
        <v>366</v>
      </c>
      <c r="D34">
        <v>88.571428571428569</v>
      </c>
    </row>
    <row r="35" spans="1:4" x14ac:dyDescent="0.25">
      <c r="A35">
        <v>7</v>
      </c>
      <c r="B35" t="s">
        <v>9</v>
      </c>
      <c r="C35">
        <v>527</v>
      </c>
      <c r="D35">
        <v>115.5714285714286</v>
      </c>
    </row>
    <row r="36" spans="1:4" x14ac:dyDescent="0.25">
      <c r="A36">
        <v>7</v>
      </c>
      <c r="B36" t="s">
        <v>10</v>
      </c>
      <c r="C36">
        <v>623</v>
      </c>
      <c r="D36">
        <v>123.8571428571429</v>
      </c>
    </row>
    <row r="37" spans="1:4" x14ac:dyDescent="0.25">
      <c r="A37">
        <v>8</v>
      </c>
      <c r="B37" t="s">
        <v>6</v>
      </c>
      <c r="C37">
        <v>728</v>
      </c>
      <c r="D37">
        <v>137.28571428571431</v>
      </c>
    </row>
    <row r="38" spans="1:4" x14ac:dyDescent="0.25">
      <c r="A38">
        <v>8</v>
      </c>
      <c r="B38" t="s">
        <v>7</v>
      </c>
      <c r="C38">
        <v>481</v>
      </c>
      <c r="D38">
        <v>104.28571428571431</v>
      </c>
    </row>
    <row r="39" spans="1:4" x14ac:dyDescent="0.25">
      <c r="A39">
        <v>8</v>
      </c>
      <c r="B39" t="s">
        <v>8</v>
      </c>
      <c r="C39">
        <v>372</v>
      </c>
      <c r="D39">
        <v>92</v>
      </c>
    </row>
    <row r="40" spans="1:4" x14ac:dyDescent="0.25">
      <c r="A40">
        <v>8</v>
      </c>
      <c r="B40" t="s">
        <v>9</v>
      </c>
      <c r="C40">
        <v>487</v>
      </c>
      <c r="D40">
        <v>104</v>
      </c>
    </row>
    <row r="41" spans="1:4" x14ac:dyDescent="0.25">
      <c r="A41">
        <v>8</v>
      </c>
      <c r="B41" t="s">
        <v>10</v>
      </c>
      <c r="C41">
        <v>651</v>
      </c>
      <c r="D41">
        <v>129</v>
      </c>
    </row>
    <row r="42" spans="1:4" x14ac:dyDescent="0.25">
      <c r="A42">
        <v>9</v>
      </c>
      <c r="B42" t="s">
        <v>6</v>
      </c>
      <c r="C42">
        <v>709</v>
      </c>
      <c r="D42">
        <v>133.71428571428569</v>
      </c>
    </row>
    <row r="43" spans="1:4" x14ac:dyDescent="0.25">
      <c r="A43">
        <v>9</v>
      </c>
      <c r="B43" t="s">
        <v>7</v>
      </c>
      <c r="C43">
        <v>482</v>
      </c>
      <c r="D43">
        <v>103.4285714285714</v>
      </c>
    </row>
    <row r="44" spans="1:4" x14ac:dyDescent="0.25">
      <c r="A44">
        <v>9</v>
      </c>
      <c r="B44" t="s">
        <v>8</v>
      </c>
      <c r="C44">
        <v>354</v>
      </c>
      <c r="D44">
        <v>84.571428571428569</v>
      </c>
    </row>
    <row r="45" spans="1:4" x14ac:dyDescent="0.25">
      <c r="A45">
        <v>9</v>
      </c>
      <c r="B45" t="s">
        <v>9</v>
      </c>
      <c r="C45">
        <v>526</v>
      </c>
      <c r="D45">
        <v>109.1428571428571</v>
      </c>
    </row>
    <row r="46" spans="1:4" x14ac:dyDescent="0.25">
      <c r="A46">
        <v>9</v>
      </c>
      <c r="B46" t="s">
        <v>10</v>
      </c>
      <c r="C46">
        <v>643</v>
      </c>
      <c r="D46">
        <v>124.4285714285714</v>
      </c>
    </row>
    <row r="47" spans="1:4" x14ac:dyDescent="0.25">
      <c r="A47">
        <v>10</v>
      </c>
      <c r="B47" t="s">
        <v>6</v>
      </c>
      <c r="C47">
        <v>754</v>
      </c>
      <c r="D47">
        <v>143.71428571428569</v>
      </c>
    </row>
    <row r="48" spans="1:4" x14ac:dyDescent="0.25">
      <c r="A48">
        <v>10</v>
      </c>
      <c r="B48" t="s">
        <v>7</v>
      </c>
      <c r="C48">
        <v>462</v>
      </c>
      <c r="D48">
        <v>98.285714285714292</v>
      </c>
    </row>
    <row r="49" spans="1:4" x14ac:dyDescent="0.25">
      <c r="A49">
        <v>10</v>
      </c>
      <c r="B49" t="s">
        <v>8</v>
      </c>
      <c r="C49">
        <v>360</v>
      </c>
      <c r="D49">
        <v>85.857142857142861</v>
      </c>
    </row>
    <row r="50" spans="1:4" x14ac:dyDescent="0.25">
      <c r="A50">
        <v>10</v>
      </c>
      <c r="B50" t="s">
        <v>9</v>
      </c>
      <c r="C50">
        <v>518</v>
      </c>
      <c r="D50">
        <v>112.4285714285714</v>
      </c>
    </row>
    <row r="51" spans="1:4" x14ac:dyDescent="0.25">
      <c r="A51">
        <v>10</v>
      </c>
      <c r="B51" t="s">
        <v>10</v>
      </c>
      <c r="C51">
        <v>629</v>
      </c>
      <c r="D51">
        <v>120.71428571428569</v>
      </c>
    </row>
    <row r="52" spans="1:4" x14ac:dyDescent="0.25">
      <c r="A52">
        <v>11</v>
      </c>
      <c r="B52" t="s">
        <v>6</v>
      </c>
      <c r="C52">
        <v>747</v>
      </c>
      <c r="D52">
        <v>137.28571428571431</v>
      </c>
    </row>
    <row r="53" spans="1:4" x14ac:dyDescent="0.25">
      <c r="A53">
        <v>11</v>
      </c>
      <c r="B53" t="s">
        <v>7</v>
      </c>
      <c r="C53">
        <v>501</v>
      </c>
      <c r="D53">
        <v>107.1428571428571</v>
      </c>
    </row>
    <row r="54" spans="1:4" x14ac:dyDescent="0.25">
      <c r="A54">
        <v>11</v>
      </c>
      <c r="B54" t="s">
        <v>8</v>
      </c>
      <c r="C54">
        <v>352</v>
      </c>
      <c r="D54">
        <v>84.142857142857139</v>
      </c>
    </row>
    <row r="55" spans="1:4" x14ac:dyDescent="0.25">
      <c r="A55">
        <v>11</v>
      </c>
      <c r="B55" t="s">
        <v>9</v>
      </c>
      <c r="C55">
        <v>502</v>
      </c>
      <c r="D55">
        <v>105.1428571428571</v>
      </c>
    </row>
    <row r="56" spans="1:4" x14ac:dyDescent="0.25">
      <c r="A56">
        <v>11</v>
      </c>
      <c r="B56" t="s">
        <v>10</v>
      </c>
      <c r="C56">
        <v>628</v>
      </c>
      <c r="D56">
        <v>122.8571428571429</v>
      </c>
    </row>
    <row r="57" spans="1:4" x14ac:dyDescent="0.25">
      <c r="A57">
        <v>12</v>
      </c>
      <c r="B57" t="s">
        <v>6</v>
      </c>
      <c r="C57">
        <v>708</v>
      </c>
      <c r="D57">
        <v>131.28571428571431</v>
      </c>
    </row>
    <row r="58" spans="1:4" x14ac:dyDescent="0.25">
      <c r="A58">
        <v>12</v>
      </c>
      <c r="B58" t="s">
        <v>7</v>
      </c>
      <c r="C58">
        <v>461</v>
      </c>
      <c r="D58">
        <v>99.571428571428569</v>
      </c>
    </row>
    <row r="59" spans="1:4" x14ac:dyDescent="0.25">
      <c r="A59">
        <v>12</v>
      </c>
      <c r="B59" t="s">
        <v>8</v>
      </c>
      <c r="C59">
        <v>344</v>
      </c>
      <c r="D59">
        <v>85.571428571428569</v>
      </c>
    </row>
    <row r="60" spans="1:4" x14ac:dyDescent="0.25">
      <c r="A60">
        <v>12</v>
      </c>
      <c r="B60" t="s">
        <v>9</v>
      </c>
      <c r="C60">
        <v>465</v>
      </c>
      <c r="D60">
        <v>100.8571428571429</v>
      </c>
    </row>
    <row r="61" spans="1:4" x14ac:dyDescent="0.25">
      <c r="A61">
        <v>12</v>
      </c>
      <c r="B61" t="s">
        <v>10</v>
      </c>
      <c r="C61">
        <v>668</v>
      </c>
      <c r="D61">
        <v>133.57142857142861</v>
      </c>
    </row>
    <row r="62" spans="1:4" x14ac:dyDescent="0.25">
      <c r="A62">
        <v>13</v>
      </c>
      <c r="B62" t="s">
        <v>6</v>
      </c>
      <c r="C62">
        <v>687</v>
      </c>
      <c r="D62">
        <v>130.28571428571431</v>
      </c>
    </row>
    <row r="63" spans="1:4" x14ac:dyDescent="0.25">
      <c r="A63">
        <v>13</v>
      </c>
      <c r="B63" t="s">
        <v>7</v>
      </c>
      <c r="C63">
        <v>448</v>
      </c>
      <c r="D63">
        <v>102.28571428571431</v>
      </c>
    </row>
    <row r="64" spans="1:4" x14ac:dyDescent="0.25">
      <c r="A64">
        <v>13</v>
      </c>
      <c r="B64" t="s">
        <v>8</v>
      </c>
      <c r="C64">
        <v>370</v>
      </c>
      <c r="D64">
        <v>91.571428571428569</v>
      </c>
    </row>
    <row r="65" spans="1:4" x14ac:dyDescent="0.25">
      <c r="A65">
        <v>13</v>
      </c>
      <c r="B65" t="s">
        <v>9</v>
      </c>
      <c r="C65">
        <v>521</v>
      </c>
      <c r="D65">
        <v>111.8571428571429</v>
      </c>
    </row>
    <row r="66" spans="1:4" x14ac:dyDescent="0.25">
      <c r="A66">
        <v>13</v>
      </c>
      <c r="B66" t="s">
        <v>10</v>
      </c>
      <c r="C66">
        <v>659</v>
      </c>
      <c r="D66">
        <v>127.1428571428571</v>
      </c>
    </row>
    <row r="67" spans="1:4" x14ac:dyDescent="0.25">
      <c r="A67">
        <v>14</v>
      </c>
      <c r="B67" t="s">
        <v>6</v>
      </c>
      <c r="C67">
        <v>739</v>
      </c>
      <c r="D67">
        <v>143.28571428571431</v>
      </c>
    </row>
    <row r="68" spans="1:4" x14ac:dyDescent="0.25">
      <c r="A68">
        <v>14</v>
      </c>
      <c r="B68" t="s">
        <v>7</v>
      </c>
      <c r="C68">
        <v>474</v>
      </c>
      <c r="D68">
        <v>105.8571428571429</v>
      </c>
    </row>
    <row r="69" spans="1:4" x14ac:dyDescent="0.25">
      <c r="A69">
        <v>14</v>
      </c>
      <c r="B69" t="s">
        <v>8</v>
      </c>
      <c r="C69">
        <v>415</v>
      </c>
      <c r="D69">
        <v>91.571428571428569</v>
      </c>
    </row>
    <row r="70" spans="1:4" x14ac:dyDescent="0.25">
      <c r="A70">
        <v>14</v>
      </c>
      <c r="B70" t="s">
        <v>9</v>
      </c>
      <c r="C70">
        <v>466</v>
      </c>
      <c r="D70">
        <v>102.8571428571429</v>
      </c>
    </row>
    <row r="71" spans="1:4" x14ac:dyDescent="0.25">
      <c r="A71">
        <v>14</v>
      </c>
      <c r="B71" t="s">
        <v>10</v>
      </c>
      <c r="C71">
        <v>672</v>
      </c>
      <c r="D71">
        <v>130.71428571428569</v>
      </c>
    </row>
    <row r="72" spans="1:4" x14ac:dyDescent="0.25">
      <c r="A72">
        <v>15</v>
      </c>
      <c r="B72" t="s">
        <v>6</v>
      </c>
      <c r="C72">
        <v>692</v>
      </c>
      <c r="D72">
        <v>132.71428571428569</v>
      </c>
    </row>
    <row r="73" spans="1:4" x14ac:dyDescent="0.25">
      <c r="A73">
        <v>15</v>
      </c>
      <c r="B73" t="s">
        <v>7</v>
      </c>
      <c r="C73">
        <v>474</v>
      </c>
      <c r="D73">
        <v>103.28571428571431</v>
      </c>
    </row>
    <row r="74" spans="1:4" x14ac:dyDescent="0.25">
      <c r="A74">
        <v>15</v>
      </c>
      <c r="B74" t="s">
        <v>8</v>
      </c>
      <c r="C74">
        <v>374</v>
      </c>
      <c r="D74">
        <v>86.428571428571431</v>
      </c>
    </row>
    <row r="75" spans="1:4" x14ac:dyDescent="0.25">
      <c r="A75">
        <v>15</v>
      </c>
      <c r="B75" t="s">
        <v>9</v>
      </c>
      <c r="C75">
        <v>537</v>
      </c>
      <c r="D75">
        <v>113.1428571428571</v>
      </c>
    </row>
    <row r="76" spans="1:4" x14ac:dyDescent="0.25">
      <c r="A76">
        <v>15</v>
      </c>
      <c r="B76" t="s">
        <v>10</v>
      </c>
      <c r="C76">
        <v>703</v>
      </c>
      <c r="D76">
        <v>137.57142857142861</v>
      </c>
    </row>
    <row r="77" spans="1:4" x14ac:dyDescent="0.25">
      <c r="A77">
        <v>16</v>
      </c>
      <c r="B77" t="s">
        <v>6</v>
      </c>
      <c r="C77">
        <v>674</v>
      </c>
      <c r="D77">
        <v>127.8571428571429</v>
      </c>
    </row>
    <row r="78" spans="1:4" x14ac:dyDescent="0.25">
      <c r="A78">
        <v>16</v>
      </c>
      <c r="B78" t="s">
        <v>7</v>
      </c>
      <c r="C78">
        <v>444</v>
      </c>
      <c r="D78">
        <v>95.714285714285708</v>
      </c>
    </row>
    <row r="79" spans="1:4" x14ac:dyDescent="0.25">
      <c r="A79">
        <v>16</v>
      </c>
      <c r="B79" t="s">
        <v>8</v>
      </c>
      <c r="C79">
        <v>381</v>
      </c>
      <c r="D79">
        <v>89.714285714285708</v>
      </c>
    </row>
    <row r="80" spans="1:4" x14ac:dyDescent="0.25">
      <c r="A80">
        <v>16</v>
      </c>
      <c r="B80" t="s">
        <v>9</v>
      </c>
      <c r="C80">
        <v>513</v>
      </c>
      <c r="D80">
        <v>105.71428571428569</v>
      </c>
    </row>
    <row r="81" spans="1:4" x14ac:dyDescent="0.25">
      <c r="A81">
        <v>16</v>
      </c>
      <c r="B81" t="s">
        <v>10</v>
      </c>
      <c r="C81">
        <v>608</v>
      </c>
      <c r="D81">
        <v>122.4285714285714</v>
      </c>
    </row>
    <row r="82" spans="1:4" x14ac:dyDescent="0.25">
      <c r="A82">
        <v>17</v>
      </c>
      <c r="B82" t="s">
        <v>6</v>
      </c>
      <c r="C82">
        <v>690</v>
      </c>
      <c r="D82">
        <v>140</v>
      </c>
    </row>
    <row r="83" spans="1:4" x14ac:dyDescent="0.25">
      <c r="A83">
        <v>17</v>
      </c>
      <c r="B83" t="s">
        <v>7</v>
      </c>
      <c r="C83">
        <v>498</v>
      </c>
      <c r="D83">
        <v>108.5714285714286</v>
      </c>
    </row>
    <row r="84" spans="1:4" x14ac:dyDescent="0.25">
      <c r="A84">
        <v>17</v>
      </c>
      <c r="B84" t="s">
        <v>8</v>
      </c>
      <c r="C84">
        <v>355</v>
      </c>
      <c r="D84">
        <v>83.571428571428569</v>
      </c>
    </row>
    <row r="85" spans="1:4" x14ac:dyDescent="0.25">
      <c r="A85">
        <v>17</v>
      </c>
      <c r="B85" t="s">
        <v>9</v>
      </c>
      <c r="C85">
        <v>496</v>
      </c>
      <c r="D85">
        <v>101.5714285714286</v>
      </c>
    </row>
    <row r="86" spans="1:4" x14ac:dyDescent="0.25">
      <c r="A86">
        <v>17</v>
      </c>
      <c r="B86" t="s">
        <v>10</v>
      </c>
      <c r="C86">
        <v>701</v>
      </c>
      <c r="D86">
        <v>140.71428571428569</v>
      </c>
    </row>
    <row r="87" spans="1:4" x14ac:dyDescent="0.25">
      <c r="A87">
        <v>18</v>
      </c>
      <c r="B87" t="s">
        <v>6</v>
      </c>
      <c r="C87">
        <v>314</v>
      </c>
      <c r="D87">
        <v>136</v>
      </c>
    </row>
    <row r="88" spans="1:4" x14ac:dyDescent="0.25">
      <c r="A88">
        <v>18</v>
      </c>
      <c r="B88" t="s">
        <v>7</v>
      </c>
      <c r="C88">
        <v>185</v>
      </c>
      <c r="D88">
        <v>96.333333333333329</v>
      </c>
    </row>
    <row r="89" spans="1:4" x14ac:dyDescent="0.25">
      <c r="A89">
        <v>18</v>
      </c>
      <c r="B89" t="s">
        <v>8</v>
      </c>
      <c r="C89">
        <v>175</v>
      </c>
      <c r="D89">
        <v>98.333333333333329</v>
      </c>
    </row>
    <row r="90" spans="1:4" x14ac:dyDescent="0.25">
      <c r="A90">
        <v>18</v>
      </c>
      <c r="B90" t="s">
        <v>9</v>
      </c>
      <c r="C90">
        <v>227</v>
      </c>
      <c r="D90">
        <v>109.3333333333333</v>
      </c>
    </row>
    <row r="91" spans="1:4" x14ac:dyDescent="0.25">
      <c r="A91">
        <v>18</v>
      </c>
      <c r="B91" t="s">
        <v>10</v>
      </c>
      <c r="C91">
        <v>293</v>
      </c>
      <c r="D91">
        <v>138.66666666666671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M37" sqref="M37"/>
    </sheetView>
  </sheetViews>
  <sheetFormatPr defaultRowHeight="15" x14ac:dyDescent="0.25"/>
  <cols>
    <col min="3" max="3" width="9.85546875" bestFit="1" customWidth="1"/>
    <col min="4" max="4" width="14.85546875" bestFit="1" customWidth="1"/>
  </cols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6</v>
      </c>
      <c r="C2">
        <v>3107</v>
      </c>
      <c r="D2">
        <v>137.61290322580649</v>
      </c>
    </row>
    <row r="3" spans="1:4" x14ac:dyDescent="0.25">
      <c r="A3">
        <v>1</v>
      </c>
      <c r="B3" t="s">
        <v>7</v>
      </c>
      <c r="C3">
        <v>2109</v>
      </c>
      <c r="D3">
        <v>102.2258064516129</v>
      </c>
    </row>
    <row r="4" spans="1:4" x14ac:dyDescent="0.25">
      <c r="A4">
        <v>1</v>
      </c>
      <c r="B4" t="s">
        <v>8</v>
      </c>
      <c r="C4">
        <v>1587</v>
      </c>
      <c r="D4">
        <v>84.322580645161295</v>
      </c>
    </row>
    <row r="5" spans="1:4" x14ac:dyDescent="0.25">
      <c r="A5">
        <v>1</v>
      </c>
      <c r="B5" t="s">
        <v>9</v>
      </c>
      <c r="C5">
        <v>2310</v>
      </c>
      <c r="D5">
        <v>110.2258064516129</v>
      </c>
    </row>
    <row r="6" spans="1:4" x14ac:dyDescent="0.25">
      <c r="A6">
        <v>1</v>
      </c>
      <c r="B6" t="s">
        <v>10</v>
      </c>
      <c r="C6">
        <v>2896</v>
      </c>
      <c r="D6">
        <v>128</v>
      </c>
    </row>
    <row r="7" spans="1:4" x14ac:dyDescent="0.25">
      <c r="A7">
        <v>2</v>
      </c>
      <c r="B7" t="s">
        <v>6</v>
      </c>
      <c r="C7">
        <v>2842</v>
      </c>
      <c r="D7">
        <v>135.96428571428569</v>
      </c>
    </row>
    <row r="8" spans="1:4" x14ac:dyDescent="0.25">
      <c r="A8">
        <v>2</v>
      </c>
      <c r="B8" t="s">
        <v>7</v>
      </c>
      <c r="C8">
        <v>1851</v>
      </c>
      <c r="D8">
        <v>102.8214285714286</v>
      </c>
    </row>
    <row r="9" spans="1:4" x14ac:dyDescent="0.25">
      <c r="A9">
        <v>2</v>
      </c>
      <c r="B9" t="s">
        <v>8</v>
      </c>
      <c r="C9">
        <v>1478</v>
      </c>
      <c r="D9">
        <v>89.357142857142861</v>
      </c>
    </row>
    <row r="10" spans="1:4" x14ac:dyDescent="0.25">
      <c r="A10">
        <v>2</v>
      </c>
      <c r="B10" t="s">
        <v>9</v>
      </c>
      <c r="C10">
        <v>2049</v>
      </c>
      <c r="D10">
        <v>108.1428571428571</v>
      </c>
    </row>
    <row r="11" spans="1:4" x14ac:dyDescent="0.25">
      <c r="A11">
        <v>2</v>
      </c>
      <c r="B11" t="s">
        <v>10</v>
      </c>
      <c r="C11">
        <v>2621</v>
      </c>
      <c r="D11">
        <v>127.8214285714286</v>
      </c>
    </row>
    <row r="12" spans="1:4" x14ac:dyDescent="0.25">
      <c r="A12">
        <v>3</v>
      </c>
      <c r="B12" t="s">
        <v>6</v>
      </c>
      <c r="C12">
        <v>3216</v>
      </c>
      <c r="D12">
        <v>136.32258064516131</v>
      </c>
    </row>
    <row r="13" spans="1:4" x14ac:dyDescent="0.25">
      <c r="A13">
        <v>3</v>
      </c>
      <c r="B13" t="s">
        <v>7</v>
      </c>
      <c r="C13">
        <v>2097</v>
      </c>
      <c r="D13">
        <v>102.1290322580645</v>
      </c>
    </row>
    <row r="14" spans="1:4" x14ac:dyDescent="0.25">
      <c r="A14">
        <v>3</v>
      </c>
      <c r="B14" t="s">
        <v>8</v>
      </c>
      <c r="C14">
        <v>1587</v>
      </c>
      <c r="D14">
        <v>87.129032258064512</v>
      </c>
    </row>
    <row r="15" spans="1:4" x14ac:dyDescent="0.25">
      <c r="A15">
        <v>3</v>
      </c>
      <c r="B15" t="s">
        <v>9</v>
      </c>
      <c r="C15">
        <v>2216</v>
      </c>
      <c r="D15">
        <v>107.54838709677421</v>
      </c>
    </row>
    <row r="16" spans="1:4" x14ac:dyDescent="0.25">
      <c r="A16">
        <v>3</v>
      </c>
      <c r="B16" t="s">
        <v>10</v>
      </c>
      <c r="C16">
        <v>2853</v>
      </c>
      <c r="D16">
        <v>125.9354838709677</v>
      </c>
    </row>
    <row r="17" spans="1:4" x14ac:dyDescent="0.25">
      <c r="A17">
        <v>4</v>
      </c>
      <c r="B17" t="s">
        <v>6</v>
      </c>
      <c r="C17">
        <v>3008</v>
      </c>
      <c r="D17">
        <v>135.93333333333331</v>
      </c>
    </row>
    <row r="18" spans="1:4" x14ac:dyDescent="0.25">
      <c r="A18">
        <v>4</v>
      </c>
      <c r="B18" t="s">
        <v>7</v>
      </c>
      <c r="C18">
        <v>2006</v>
      </c>
      <c r="D18">
        <v>102.7</v>
      </c>
    </row>
    <row r="19" spans="1:4" x14ac:dyDescent="0.25">
      <c r="A19">
        <v>4</v>
      </c>
      <c r="B19" t="s">
        <v>8</v>
      </c>
      <c r="C19">
        <v>1631</v>
      </c>
      <c r="D19">
        <v>88.166666666666671</v>
      </c>
    </row>
    <row r="20" spans="1:4" x14ac:dyDescent="0.25">
      <c r="A20">
        <v>4</v>
      </c>
      <c r="B20" t="s">
        <v>9</v>
      </c>
      <c r="C20">
        <v>2182</v>
      </c>
      <c r="D20">
        <v>106.73333333333331</v>
      </c>
    </row>
    <row r="21" spans="1:4" x14ac:dyDescent="0.25">
      <c r="A21">
        <v>4</v>
      </c>
      <c r="B21" t="s">
        <v>10</v>
      </c>
      <c r="C21">
        <v>2871</v>
      </c>
      <c r="D21">
        <v>132.9666666666667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selection activeCell="N2" sqref="N2:N6"/>
    </sheetView>
  </sheetViews>
  <sheetFormatPr defaultRowHeight="15" x14ac:dyDescent="0.25"/>
  <cols>
    <col min="1" max="1" width="6.5703125" customWidth="1"/>
    <col min="2" max="2" width="17.28515625" customWidth="1"/>
    <col min="3" max="3" width="15.28515625" customWidth="1"/>
    <col min="4" max="4" width="14.28515625" customWidth="1"/>
    <col min="5" max="5" width="18.140625" customWidth="1"/>
    <col min="6" max="6" width="17.7109375" customWidth="1"/>
    <col min="7" max="7" width="12" bestFit="1" customWidth="1"/>
    <col min="8" max="8" width="19.28515625" customWidth="1"/>
    <col min="9" max="9" width="18.28515625" customWidth="1"/>
    <col min="10" max="10" width="12" bestFit="1" customWidth="1"/>
    <col min="11" max="11" width="13.85546875" customWidth="1"/>
    <col min="12" max="12" width="15.42578125" customWidth="1"/>
    <col min="13" max="13" width="12" bestFit="1" customWidth="1"/>
    <col min="14" max="14" width="25.7109375" customWidth="1"/>
  </cols>
  <sheetData>
    <row r="1" spans="1:14" x14ac:dyDescent="0.25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25">
      <c r="A2" t="s">
        <v>6</v>
      </c>
      <c r="B2">
        <v>12000</v>
      </c>
      <c r="C2">
        <v>150</v>
      </c>
      <c r="D2">
        <v>4</v>
      </c>
      <c r="E2">
        <v>10</v>
      </c>
      <c r="F2">
        <v>80</v>
      </c>
      <c r="G2">
        <f>SQRT((B2*C2*2)/D2)</f>
        <v>948.68329805051383</v>
      </c>
      <c r="H2">
        <f>(B2/G2)*C2</f>
        <v>1897.3665961010274</v>
      </c>
      <c r="I2">
        <f>(G2/2)*D2</f>
        <v>1897.3665961010277</v>
      </c>
      <c r="J2">
        <f>H2+I2</f>
        <v>3794.7331922020549</v>
      </c>
      <c r="K2">
        <f>1.65*F2*SQRT(E2)</f>
        <v>417.42065114222612</v>
      </c>
      <c r="L2">
        <f>B2/365</f>
        <v>32.876712328767127</v>
      </c>
      <c r="M2">
        <f>(L2*E2)+Table1[[#This Row],[Safety Stock]]</f>
        <v>746.18777442989744</v>
      </c>
      <c r="N2">
        <f>IF(G2&lt;(L2*E2),G2,ROUNDUP(G2,-1))</f>
        <v>950</v>
      </c>
    </row>
    <row r="3" spans="1:14" x14ac:dyDescent="0.25">
      <c r="A3" t="s">
        <v>7</v>
      </c>
      <c r="B3">
        <v>9600</v>
      </c>
      <c r="C3">
        <v>120</v>
      </c>
      <c r="D3">
        <v>3</v>
      </c>
      <c r="E3">
        <v>7</v>
      </c>
      <c r="F3">
        <v>60</v>
      </c>
      <c r="G3">
        <f t="shared" ref="G3:G6" si="0">SQRT((B3*C3*2)/D3)</f>
        <v>876.35609200826582</v>
      </c>
      <c r="H3">
        <f>(B3/G3)*C3</f>
        <v>1314.5341380123987</v>
      </c>
      <c r="I3">
        <f>(G3/2)*D3</f>
        <v>1314.5341380123987</v>
      </c>
      <c r="J3">
        <f t="shared" ref="J3:J6" si="1">H3+I3</f>
        <v>2629.0682760247973</v>
      </c>
      <c r="K3">
        <f t="shared" ref="K3:K6" si="2">1.65*F3*SQRT(E3)</f>
        <v>261.92937979539448</v>
      </c>
      <c r="L3">
        <f t="shared" ref="L3:L6" si="3">B3/365</f>
        <v>26.301369863013697</v>
      </c>
      <c r="M3">
        <f>(L3*E3)+Table1[[#This Row],[Safety Stock]]</f>
        <v>446.03896883649037</v>
      </c>
      <c r="N3">
        <f t="shared" ref="N3:N6" si="4">IF(G3&lt;(L3*E3),G3,ROUNDUP(G3,-1))</f>
        <v>880</v>
      </c>
    </row>
    <row r="4" spans="1:14" x14ac:dyDescent="0.25">
      <c r="A4" t="s">
        <v>8</v>
      </c>
      <c r="B4">
        <v>18000</v>
      </c>
      <c r="C4">
        <v>200</v>
      </c>
      <c r="D4">
        <v>5</v>
      </c>
      <c r="E4">
        <v>12</v>
      </c>
      <c r="F4">
        <v>100</v>
      </c>
      <c r="G4">
        <f t="shared" si="0"/>
        <v>1200</v>
      </c>
      <c r="H4">
        <f t="shared" ref="H4:H6" si="5">(B4/G4)*C4</f>
        <v>3000</v>
      </c>
      <c r="I4">
        <f t="shared" ref="I4:I6" si="6">(G4/2)*D4</f>
        <v>3000</v>
      </c>
      <c r="J4">
        <f t="shared" si="1"/>
        <v>6000</v>
      </c>
      <c r="K4">
        <f t="shared" si="2"/>
        <v>571.57676649772952</v>
      </c>
      <c r="L4">
        <f t="shared" si="3"/>
        <v>49.315068493150683</v>
      </c>
      <c r="M4">
        <f>(L4*E4)+Table1[[#This Row],[Safety Stock]]</f>
        <v>1163.3575884155377</v>
      </c>
      <c r="N4">
        <f t="shared" si="4"/>
        <v>1200</v>
      </c>
    </row>
    <row r="5" spans="1:14" x14ac:dyDescent="0.25">
      <c r="A5" t="s">
        <v>9</v>
      </c>
      <c r="B5">
        <v>7200</v>
      </c>
      <c r="C5">
        <v>100</v>
      </c>
      <c r="D5">
        <v>2</v>
      </c>
      <c r="E5">
        <v>5</v>
      </c>
      <c r="F5">
        <v>40</v>
      </c>
      <c r="G5">
        <f t="shared" si="0"/>
        <v>848.52813742385706</v>
      </c>
      <c r="H5">
        <f t="shared" si="5"/>
        <v>848.52813742385695</v>
      </c>
      <c r="I5">
        <f t="shared" si="6"/>
        <v>848.52813742385706</v>
      </c>
      <c r="J5">
        <f t="shared" si="1"/>
        <v>1697.0562748477141</v>
      </c>
      <c r="K5">
        <f t="shared" si="2"/>
        <v>147.58048651498612</v>
      </c>
      <c r="L5">
        <f t="shared" si="3"/>
        <v>19.726027397260275</v>
      </c>
      <c r="M5">
        <f>(L5*E5)+Table1[[#This Row],[Safety Stock]]</f>
        <v>246.2106235012875</v>
      </c>
      <c r="N5">
        <f t="shared" si="4"/>
        <v>850</v>
      </c>
    </row>
    <row r="6" spans="1:14" x14ac:dyDescent="0.25">
      <c r="A6" t="s">
        <v>10</v>
      </c>
      <c r="B6">
        <v>15000</v>
      </c>
      <c r="C6">
        <v>180</v>
      </c>
      <c r="D6">
        <v>4</v>
      </c>
      <c r="E6">
        <v>9</v>
      </c>
      <c r="F6">
        <v>70</v>
      </c>
      <c r="G6">
        <f t="shared" si="0"/>
        <v>1161.8950038622252</v>
      </c>
      <c r="H6">
        <f t="shared" si="5"/>
        <v>2323.7900077244499</v>
      </c>
      <c r="I6">
        <f t="shared" si="6"/>
        <v>2323.7900077244503</v>
      </c>
      <c r="J6">
        <f t="shared" si="1"/>
        <v>4647.5800154489007</v>
      </c>
      <c r="K6">
        <f t="shared" si="2"/>
        <v>346.5</v>
      </c>
      <c r="L6">
        <f t="shared" si="3"/>
        <v>41.095890410958901</v>
      </c>
      <c r="M6">
        <f>(L6*E6)+Table1[[#This Row],[Safety Stock]]</f>
        <v>716.36301369863008</v>
      </c>
      <c r="N6">
        <f t="shared" si="4"/>
        <v>1170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F6" sqref="F6"/>
    </sheetView>
  </sheetViews>
  <sheetFormatPr defaultRowHeight="15" x14ac:dyDescent="0.25"/>
  <cols>
    <col min="1" max="1" width="36.5703125" bestFit="1" customWidth="1"/>
    <col min="2" max="2" width="15" customWidth="1"/>
  </cols>
  <sheetData>
    <row r="1" spans="1:2" x14ac:dyDescent="0.25">
      <c r="A1" t="s">
        <v>70</v>
      </c>
      <c r="B1" t="s">
        <v>71</v>
      </c>
    </row>
    <row r="2" spans="1:2" x14ac:dyDescent="0.25">
      <c r="A2" t="s">
        <v>69</v>
      </c>
    </row>
    <row r="4" spans="1:2" x14ac:dyDescent="0.25">
      <c r="A4" t="s">
        <v>24</v>
      </c>
      <c r="B4">
        <f>SUM('6. Product Master'!J2:J6)</f>
        <v>18768.437758523465</v>
      </c>
    </row>
    <row r="5" spans="1:2" x14ac:dyDescent="0.25">
      <c r="A5" t="s">
        <v>25</v>
      </c>
      <c r="B5">
        <v>9384.2188792617308</v>
      </c>
    </row>
    <row r="6" spans="1:2" x14ac:dyDescent="0.25">
      <c r="A6" t="s">
        <v>26</v>
      </c>
      <c r="B6">
        <f>SUM('6. Product Master'!I2:I6)</f>
        <v>9384.2188792617344</v>
      </c>
    </row>
    <row r="7" spans="1:2" x14ac:dyDescent="0.25">
      <c r="A7" t="s">
        <v>36</v>
      </c>
      <c r="B7">
        <f>SUM('6. Product Master'!G2:G6)</f>
        <v>5035.4625313448614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23D6-2A49-4ECF-9BCF-82275596D3BB}">
  <dimension ref="A3:G9"/>
  <sheetViews>
    <sheetView workbookViewId="0">
      <selection activeCell="I21" sqref="I21"/>
    </sheetView>
  </sheetViews>
  <sheetFormatPr defaultRowHeight="15" x14ac:dyDescent="0.25"/>
  <cols>
    <col min="1" max="1" width="21.7109375" bestFit="1" customWidth="1"/>
    <col min="2" max="2" width="16.28515625" bestFit="1" customWidth="1"/>
    <col min="3" max="6" width="6" bestFit="1" customWidth="1"/>
    <col min="7" max="7" width="11.28515625" bestFit="1" customWidth="1"/>
    <col min="8" max="8" width="16.7109375" bestFit="1" customWidth="1"/>
    <col min="9" max="9" width="21.7109375" bestFit="1" customWidth="1"/>
    <col min="10" max="10" width="16.7109375" bestFit="1" customWidth="1"/>
    <col min="11" max="11" width="21.7109375" bestFit="1" customWidth="1"/>
    <col min="12" max="12" width="21.85546875" bestFit="1" customWidth="1"/>
    <col min="13" max="13" width="26.7109375" bestFit="1" customWidth="1"/>
  </cols>
  <sheetData>
    <row r="3" spans="1:7" x14ac:dyDescent="0.25">
      <c r="A3" s="2" t="s">
        <v>30</v>
      </c>
      <c r="B3" s="2" t="s">
        <v>31</v>
      </c>
    </row>
    <row r="4" spans="1:7" x14ac:dyDescent="0.25">
      <c r="A4" s="2" t="s">
        <v>27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29</v>
      </c>
    </row>
    <row r="5" spans="1:7" x14ac:dyDescent="0.25">
      <c r="A5" s="3" t="s">
        <v>32</v>
      </c>
      <c r="B5">
        <v>4266</v>
      </c>
      <c r="C5">
        <v>3169</v>
      </c>
      <c r="D5">
        <v>2614</v>
      </c>
      <c r="E5">
        <v>3417</v>
      </c>
      <c r="F5">
        <v>3968</v>
      </c>
      <c r="G5">
        <v>17434</v>
      </c>
    </row>
    <row r="6" spans="1:7" x14ac:dyDescent="0.25">
      <c r="A6" s="3" t="s">
        <v>33</v>
      </c>
      <c r="B6">
        <v>3807</v>
      </c>
      <c r="C6">
        <v>2879</v>
      </c>
      <c r="D6">
        <v>2502</v>
      </c>
      <c r="E6">
        <v>3028</v>
      </c>
      <c r="F6">
        <v>3579</v>
      </c>
      <c r="G6">
        <v>15795</v>
      </c>
    </row>
    <row r="7" spans="1:7" x14ac:dyDescent="0.25">
      <c r="A7" s="3" t="s">
        <v>34</v>
      </c>
      <c r="B7">
        <v>4226</v>
      </c>
      <c r="C7">
        <v>3166</v>
      </c>
      <c r="D7">
        <v>2701</v>
      </c>
      <c r="E7">
        <v>3334</v>
      </c>
      <c r="F7">
        <v>3904</v>
      </c>
      <c r="G7">
        <v>17331</v>
      </c>
    </row>
    <row r="8" spans="1:7" x14ac:dyDescent="0.25">
      <c r="A8" s="3" t="s">
        <v>35</v>
      </c>
      <c r="B8">
        <v>4078</v>
      </c>
      <c r="C8">
        <v>3081</v>
      </c>
      <c r="D8">
        <v>2645</v>
      </c>
      <c r="E8">
        <v>3202</v>
      </c>
      <c r="F8">
        <v>3989</v>
      </c>
      <c r="G8">
        <v>16995</v>
      </c>
    </row>
    <row r="9" spans="1:7" x14ac:dyDescent="0.25">
      <c r="A9" s="3" t="s">
        <v>29</v>
      </c>
      <c r="B9">
        <v>16377</v>
      </c>
      <c r="C9">
        <v>12295</v>
      </c>
      <c r="D9">
        <v>10462</v>
      </c>
      <c r="E9">
        <v>12981</v>
      </c>
      <c r="F9">
        <v>15440</v>
      </c>
      <c r="G9">
        <v>67555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446A-781C-49E2-A2F7-F50C5D9D23A5}">
  <dimension ref="A3:G9"/>
  <sheetViews>
    <sheetView workbookViewId="0">
      <selection activeCell="K34" sqref="K34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5" width="5.5703125" bestFit="1" customWidth="1"/>
    <col min="6" max="6" width="6" bestFit="1" customWidth="1"/>
    <col min="7" max="7" width="11.28515625" bestFit="1" customWidth="1"/>
    <col min="8" max="8" width="16.7109375" bestFit="1" customWidth="1"/>
    <col min="9" max="9" width="12.85546875" bestFit="1" customWidth="1"/>
    <col min="10" max="10" width="16.7109375" bestFit="1" customWidth="1"/>
    <col min="11" max="11" width="12.85546875" bestFit="1" customWidth="1"/>
    <col min="12" max="12" width="21.85546875" bestFit="1" customWidth="1"/>
    <col min="13" max="13" width="18" bestFit="1" customWidth="1"/>
  </cols>
  <sheetData>
    <row r="3" spans="1:7" x14ac:dyDescent="0.25">
      <c r="A3" s="2" t="s">
        <v>28</v>
      </c>
      <c r="B3" s="2" t="s">
        <v>31</v>
      </c>
    </row>
    <row r="4" spans="1:7" x14ac:dyDescent="0.25">
      <c r="A4" s="2" t="s">
        <v>27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29</v>
      </c>
    </row>
    <row r="5" spans="1:7" x14ac:dyDescent="0.25">
      <c r="A5" s="3" t="s">
        <v>32</v>
      </c>
      <c r="B5">
        <v>3107</v>
      </c>
      <c r="C5">
        <v>2109</v>
      </c>
      <c r="D5">
        <v>1587</v>
      </c>
      <c r="E5">
        <v>2310</v>
      </c>
      <c r="F5">
        <v>2896</v>
      </c>
      <c r="G5">
        <v>12009</v>
      </c>
    </row>
    <row r="6" spans="1:7" x14ac:dyDescent="0.25">
      <c r="A6" s="3" t="s">
        <v>33</v>
      </c>
      <c r="B6">
        <v>2842</v>
      </c>
      <c r="C6">
        <v>1851</v>
      </c>
      <c r="D6">
        <v>1478</v>
      </c>
      <c r="E6">
        <v>2049</v>
      </c>
      <c r="F6">
        <v>2621</v>
      </c>
      <c r="G6">
        <v>10841</v>
      </c>
    </row>
    <row r="7" spans="1:7" x14ac:dyDescent="0.25">
      <c r="A7" s="3" t="s">
        <v>34</v>
      </c>
      <c r="B7">
        <v>3216</v>
      </c>
      <c r="C7">
        <v>2097</v>
      </c>
      <c r="D7">
        <v>1587</v>
      </c>
      <c r="E7">
        <v>2216</v>
      </c>
      <c r="F7">
        <v>2853</v>
      </c>
      <c r="G7">
        <v>11969</v>
      </c>
    </row>
    <row r="8" spans="1:7" x14ac:dyDescent="0.25">
      <c r="A8" s="3" t="s">
        <v>35</v>
      </c>
      <c r="B8">
        <v>3008</v>
      </c>
      <c r="C8">
        <v>2006</v>
      </c>
      <c r="D8">
        <v>1631</v>
      </c>
      <c r="E8">
        <v>2182</v>
      </c>
      <c r="F8">
        <v>2871</v>
      </c>
      <c r="G8">
        <v>11698</v>
      </c>
    </row>
    <row r="9" spans="1:7" x14ac:dyDescent="0.25">
      <c r="A9" s="3" t="s">
        <v>29</v>
      </c>
      <c r="B9">
        <v>12173</v>
      </c>
      <c r="C9">
        <v>8063</v>
      </c>
      <c r="D9">
        <v>6283</v>
      </c>
      <c r="E9">
        <v>8757</v>
      </c>
      <c r="F9">
        <v>11241</v>
      </c>
      <c r="G9">
        <v>46517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Project Overview </vt:lpstr>
      <vt:lpstr>2. Insights &amp; Recommendations</vt:lpstr>
      <vt:lpstr>3. Daily Data</vt:lpstr>
      <vt:lpstr>4. Weekly Data</vt:lpstr>
      <vt:lpstr>5. Monthly Data</vt:lpstr>
      <vt:lpstr>6. Product Master</vt:lpstr>
      <vt:lpstr>7. Dashboard</vt:lpstr>
      <vt:lpstr>8. Pivot table-Inventor level</vt:lpstr>
      <vt:lpstr>9. Pivot table- Units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Dharshan Kirthik Muthuswamy</cp:lastModifiedBy>
  <dcterms:created xsi:type="dcterms:W3CDTF">2026-02-18T12:04:50Z</dcterms:created>
  <dcterms:modified xsi:type="dcterms:W3CDTF">2026-02-19T13:45:14Z</dcterms:modified>
</cp:coreProperties>
</file>